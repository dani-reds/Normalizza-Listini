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18"/>
  <workbookPr/>
  <mc:AlternateContent xmlns:mc="http://schemas.openxmlformats.org/markup-compatibility/2006">
    <mc:Choice Requires="x15">
      <x15ac:absPath xmlns:x15ac="http://schemas.microsoft.com/office/spreadsheetml/2010/11/ac" url="C:\Users\gianluca.agostini\AppData\Local\Microsoft\Windows\INetCache\Content.Outlook\VKP75JPT\"/>
    </mc:Choice>
  </mc:AlternateContent>
  <xr:revisionPtr revIDLastSave="0" documentId="8_{3BE1E5B8-1DAF-4365-9CE9-F41FCF6C3EF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AF V" sheetId="45" r:id="rId1"/>
    <sheet name="Sheet2" sheetId="2" state="hidden" r:id="rId2"/>
  </sheet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6" i="2" l="1"/>
  <c r="O25" i="2"/>
  <c r="O24" i="2"/>
  <c r="O23" i="2"/>
  <c r="O22" i="2"/>
  <c r="O21" i="2"/>
  <c r="O20" i="2"/>
  <c r="O19" i="2"/>
  <c r="O18" i="2"/>
  <c r="O17" i="2"/>
  <c r="O16" i="2"/>
  <c r="O15" i="2"/>
  <c r="M26" i="2"/>
  <c r="M25" i="2"/>
  <c r="M24" i="2"/>
  <c r="M23" i="2"/>
  <c r="M22" i="2"/>
  <c r="M21" i="2"/>
  <c r="M20" i="2"/>
  <c r="M19" i="2"/>
  <c r="M18" i="2"/>
  <c r="M17" i="2"/>
  <c r="M16" i="2"/>
  <c r="M15" i="2"/>
  <c r="K26" i="2"/>
  <c r="K25" i="2"/>
  <c r="K24" i="2"/>
  <c r="K23" i="2"/>
  <c r="K22" i="2"/>
  <c r="K21" i="2"/>
  <c r="K20" i="2"/>
  <c r="K19" i="2"/>
  <c r="K18" i="2"/>
  <c r="K17" i="2"/>
  <c r="K16" i="2"/>
  <c r="K15" i="2"/>
  <c r="I26" i="2"/>
  <c r="I25" i="2"/>
  <c r="I24" i="2"/>
  <c r="I23" i="2"/>
  <c r="I22" i="2"/>
  <c r="I21" i="2"/>
  <c r="I20" i="2"/>
  <c r="I19" i="2"/>
  <c r="I18" i="2"/>
  <c r="I17" i="2"/>
  <c r="I16" i="2"/>
  <c r="I15" i="2"/>
  <c r="G26" i="2"/>
  <c r="G25" i="2"/>
  <c r="G24" i="2"/>
  <c r="G23" i="2"/>
  <c r="G22" i="2"/>
  <c r="G21" i="2"/>
  <c r="G20" i="2"/>
  <c r="G19" i="2"/>
  <c r="G18" i="2"/>
  <c r="G17" i="2"/>
  <c r="G16" i="2"/>
  <c r="G15" i="2"/>
  <c r="E26" i="2"/>
  <c r="E25" i="2"/>
  <c r="E24" i="2"/>
  <c r="E23" i="2"/>
  <c r="E22" i="2"/>
  <c r="E21" i="2"/>
  <c r="E20" i="2"/>
  <c r="E19" i="2"/>
  <c r="E18" i="2"/>
  <c r="E17" i="2"/>
  <c r="E16" i="2"/>
  <c r="E15" i="2"/>
  <c r="C16" i="2"/>
  <c r="C17" i="2"/>
  <c r="C18" i="2"/>
  <c r="C19" i="2"/>
  <c r="C20" i="2"/>
  <c r="C21" i="2"/>
  <c r="C22" i="2"/>
  <c r="C23" i="2"/>
  <c r="C24" i="2"/>
  <c r="C25" i="2"/>
  <c r="C26" i="2"/>
  <c r="C15" i="2"/>
  <c r="N26" i="2"/>
  <c r="N25" i="2"/>
  <c r="N24" i="2"/>
  <c r="N23" i="2"/>
  <c r="N22" i="2"/>
  <c r="N21" i="2"/>
  <c r="N20" i="2"/>
  <c r="N19" i="2"/>
  <c r="N18" i="2"/>
  <c r="N17" i="2"/>
  <c r="N16" i="2"/>
  <c r="N15" i="2"/>
  <c r="L26" i="2"/>
  <c r="L25" i="2"/>
  <c r="L24" i="2"/>
  <c r="L23" i="2"/>
  <c r="L22" i="2"/>
  <c r="L21" i="2"/>
  <c r="L20" i="2"/>
  <c r="L19" i="2"/>
  <c r="L18" i="2"/>
  <c r="L17" i="2"/>
  <c r="L16" i="2"/>
  <c r="L15" i="2"/>
  <c r="J26" i="2"/>
  <c r="J25" i="2"/>
  <c r="J24" i="2"/>
  <c r="J23" i="2"/>
  <c r="J22" i="2"/>
  <c r="J21" i="2"/>
  <c r="J20" i="2"/>
  <c r="J19" i="2"/>
  <c r="J18" i="2"/>
  <c r="J17" i="2"/>
  <c r="J16" i="2"/>
  <c r="J15" i="2"/>
  <c r="H26" i="2"/>
  <c r="H25" i="2"/>
  <c r="H24" i="2"/>
  <c r="H23" i="2"/>
  <c r="H22" i="2"/>
  <c r="H21" i="2"/>
  <c r="H20" i="2"/>
  <c r="H19" i="2"/>
  <c r="H18" i="2"/>
  <c r="H17" i="2"/>
  <c r="H16" i="2"/>
  <c r="H15" i="2"/>
  <c r="F26" i="2"/>
  <c r="F25" i="2"/>
  <c r="F24" i="2"/>
  <c r="F23" i="2"/>
  <c r="F22" i="2"/>
  <c r="F21" i="2"/>
  <c r="F20" i="2"/>
  <c r="F19" i="2"/>
  <c r="F18" i="2"/>
  <c r="F17" i="2"/>
  <c r="F16" i="2"/>
  <c r="F15" i="2"/>
  <c r="D26" i="2"/>
  <c r="D25" i="2"/>
  <c r="D24" i="2"/>
  <c r="D23" i="2"/>
  <c r="D22" i="2"/>
  <c r="D21" i="2"/>
  <c r="D20" i="2"/>
  <c r="D19" i="2"/>
  <c r="D18" i="2"/>
  <c r="D17" i="2"/>
  <c r="D16" i="2"/>
  <c r="D15" i="2"/>
  <c r="B16" i="2"/>
  <c r="B17" i="2"/>
  <c r="B18" i="2"/>
  <c r="B19" i="2"/>
  <c r="B20" i="2"/>
  <c r="B21" i="2"/>
  <c r="B22" i="2"/>
  <c r="B23" i="2"/>
  <c r="B24" i="2"/>
  <c r="B25" i="2"/>
  <c r="B26" i="2"/>
  <c r="B15" i="2"/>
</calcChain>
</file>

<file path=xl/sharedStrings.xml><?xml version="1.0" encoding="utf-8"?>
<sst xmlns="http://schemas.openxmlformats.org/spreadsheetml/2006/main" count="111" uniqueCount="68">
  <si>
    <t>starting from vessels with etd 1/8/25 commercial schedule date and validity up to 31/8/2025</t>
  </si>
  <si>
    <t>ERIXMAR</t>
  </si>
  <si>
    <t xml:space="preserve">ITALY - EAST AFRICA </t>
  </si>
  <si>
    <t xml:space="preserve">MOMBASA
</t>
  </si>
  <si>
    <t xml:space="preserve">DAR ES SALAAM
</t>
  </si>
  <si>
    <t xml:space="preserve">TANGA </t>
  </si>
  <si>
    <t xml:space="preserve">ZANZIBAR </t>
  </si>
  <si>
    <t xml:space="preserve">MOGADISHU
</t>
  </si>
  <si>
    <t>BERBERA</t>
  </si>
  <si>
    <t>currency USD</t>
  </si>
  <si>
    <t>20'</t>
  </si>
  <si>
    <t>40'</t>
  </si>
  <si>
    <t>GENOA</t>
  </si>
  <si>
    <t>LA SPEZIA</t>
  </si>
  <si>
    <t>CIVITAVECCHIA</t>
  </si>
  <si>
    <t>NAPOLI</t>
  </si>
  <si>
    <t>SALERNO</t>
  </si>
  <si>
    <t>GIOIA TAURO</t>
  </si>
  <si>
    <t>CAGLIARI</t>
  </si>
  <si>
    <t>Termini Imerese/Augusta/Trapani/Pozzallo</t>
  </si>
  <si>
    <t>BARI</t>
  </si>
  <si>
    <t>ANCONA</t>
  </si>
  <si>
    <t>RAVENNA</t>
  </si>
  <si>
    <t>VENEZIA</t>
  </si>
  <si>
    <t>TRIESTE</t>
  </si>
  <si>
    <t xml:space="preserve">All above s/freight levels include CAF, PRS,CFS, SCS  and remain subject to BRC, ETS, FUEL EU, ECA  and all locals,THC's and all below additionals when applicable </t>
  </si>
  <si>
    <t>UPON REQUEST:  from all POLS freight for the following commodities: Grinding Balls / Marble/Shredded tyres/Rubber /Scraps (metals and plastic) /Rags/Used clothing/Leathers/Military cargo/UN cargo</t>
  </si>
  <si>
    <t>Prime and waste paper ///From Naples and Salerno: food</t>
  </si>
  <si>
    <t>ADDITIONALS and FOB vatos for dry</t>
  </si>
  <si>
    <t>+ BRC Vatos august</t>
  </si>
  <si>
    <t>$</t>
  </si>
  <si>
    <t>280 /20' - 560 /40'</t>
  </si>
  <si>
    <t xml:space="preserve">+ ECA Vatos </t>
  </si>
  <si>
    <t>16 /20'  - 32 /40'</t>
  </si>
  <si>
    <t>+ Emissions Trading System surcharge Vatos</t>
  </si>
  <si>
    <t>€</t>
  </si>
  <si>
    <t>32 /20'  - 64 /40'</t>
  </si>
  <si>
    <t>+ Fuel EU Vatos</t>
  </si>
  <si>
    <t xml:space="preserve">€ </t>
  </si>
  <si>
    <t>10 /20' - 20 /40'</t>
  </si>
  <si>
    <t>+ Self Heating Commodities</t>
  </si>
  <si>
    <t>50/cntr for ALL SELF HEATING COMMODITIES  ( as per link  https://mscitalia.it/self-heating-commodities)</t>
  </si>
  <si>
    <t>and also for TURNINGS  under HS code 720441 (Turnings, shavings, chips, milling waste, sawdust and filings)</t>
  </si>
  <si>
    <t>+FQS (Food Quality container Surcharge)</t>
  </si>
  <si>
    <t>100/cntr if requested  -  cost of upgrading container to meet food grade standard for special commodities</t>
  </si>
  <si>
    <t xml:space="preserve">Open top surcharge for cargo in gauge </t>
  </si>
  <si>
    <t>500 / teu  ( € 500/teu for Port Sudan)   - max cargo height cmt 230</t>
  </si>
  <si>
    <t xml:space="preserve">OOG / Flat / Open Top HIGH CUBE / Reefer upon request  </t>
  </si>
  <si>
    <t xml:space="preserve">IMO surcharge </t>
  </si>
  <si>
    <t xml:space="preserve">upon request and shipment always subject to DMG Antwerp's approval  / no imo from Bari &amp; Civitavecchia </t>
  </si>
  <si>
    <t>IMO storage :</t>
  </si>
  <si>
    <t>at LSCT $ 25 / teu (covering first nr. 3 days at LSCT)</t>
  </si>
  <si>
    <t>S.o.c. surcharge :</t>
  </si>
  <si>
    <t>upon request /PROVIDED SOC/SOT ARE ISO CERTIFIED &amp; CSC PLATE IS VALID</t>
  </si>
  <si>
    <t>Loading THC</t>
  </si>
  <si>
    <t>190 / cntr in gauge  - € 380 / cntr out of gauge from all pols  -  € 280 / reefer cntr</t>
  </si>
  <si>
    <t>ISPS</t>
  </si>
  <si>
    <t>18 / cntr ( from all pols except from Naples € 25/cntr) + Loading assistance where applied as well as all other locals =&gt; see your MYMSC.COM</t>
  </si>
  <si>
    <t>Lift on - Lift off (Lo-Lo)</t>
  </si>
  <si>
    <t>68/cntr for 20dv and 40dv-hc  and € 88/cntr special equipments and reefers  (on merchant haulage only)</t>
  </si>
  <si>
    <t>Operation Cost Contribution (OCC):  following the freight for Berbera  (frt prepaid=&gt;occ prepaid) $ 240/20'- $ 345/40' all types in gauge - $ 305/20 - $ 443/40 all types OOG / IMO</t>
  </si>
  <si>
    <t>Flexitank upon request</t>
  </si>
  <si>
    <t>For cargo with final destination in Congo DRC tax 1,8% to be calculated on s/freight+oncarriage</t>
  </si>
  <si>
    <t>TFB for Dar Es Salaam and Tanga $ 43/20dv-$86/40dv-$107/40hc collect basis / All other locals at destination to be checked on request</t>
  </si>
  <si>
    <t xml:space="preserve">FAC does not apply  --- s/freight valid for cargo value not exceeding $ 200.000 </t>
  </si>
  <si>
    <t>All local costs at destination must be settled directly at port of discharge and are not being quoted in advance from our side</t>
  </si>
  <si>
    <t>all cargo may be always subject to restrictions according to single countries laws and regulations to be checked at shipper and receiver's responsibility</t>
  </si>
  <si>
    <t>SICILY 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</si>
</sst>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#,##0\ &quot;€&quot;;[Red]\-#,##0\ &quot;€&quot;"/>
    <numFmt numFmtId="165" formatCode="#,##0.00\ &quot;€&quot;;[Red]\-#,##0.00\ &quot;€&quot;"/>
    <numFmt numFmtId="166" formatCode="[$$-409]#,##0"/>
    <numFmt numFmtId="167" formatCode="_ * #,##0.00_ ;_ * \-#,##0.00_ ;_ * &quot;-&quot;??_ ;_ @_ "/>
    <numFmt numFmtId="168" formatCode="0.00_)"/>
    <numFmt numFmtId="169" formatCode="_-* #,##0\ _E_s_c_._-;\-* #,##0\ _E_s_c_._-;_-* &quot;-&quot;\ _E_s_c_._-;_-@_-"/>
    <numFmt numFmtId="170" formatCode="_-* #,##0.00\ _E_s_c_._-;\-* #,##0.00\ _E_s_c_._-;_-* &quot;-&quot;??\ _E_s_c_._-;_-@_-"/>
    <numFmt numFmtId="171" formatCode="\$#,##0\ ;\(\$#,##0\)"/>
    <numFmt numFmtId="172" formatCode="&quot;VND&quot;#,##0_);[Red]\(&quot;VND&quot;#,##0\)"/>
    <numFmt numFmtId="173" formatCode="&quot;\&quot;#,##0;[Red]&quot;\&quot;&quot;\&quot;\-#,##0"/>
    <numFmt numFmtId="174" formatCode="&quot;\&quot;#,##0.00;[Red]&quot;\&quot;&quot;\&quot;&quot;\&quot;&quot;\&quot;&quot;\&quot;&quot;\&quot;\-#,##0.00"/>
    <numFmt numFmtId="175" formatCode="&quot;\&quot;#,##0.00;[Red]&quot;\&quot;\-#,##0.00"/>
    <numFmt numFmtId="176" formatCode="&quot;\&quot;#,##0;[Red]&quot;\&quot;\-#,##0"/>
  </numFmts>
  <fonts count="30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MS Sans Serif"/>
      <family val="2"/>
    </font>
    <font>
      <b/>
      <i/>
      <sz val="16"/>
      <name val="Helv"/>
    </font>
    <font>
      <sz val="11"/>
      <color theme="1"/>
      <name val="Calibri"/>
      <family val="2"/>
    </font>
    <font>
      <sz val="10"/>
      <name val="VNtimes new roman"/>
      <family val="2"/>
    </font>
    <font>
      <sz val="14"/>
      <name val="뼻뮝"/>
      <family val="3"/>
    </font>
    <font>
      <sz val="12"/>
      <name val="뼻뮝"/>
      <family val="1"/>
    </font>
    <font>
      <sz val="12"/>
      <name val="바탕체"/>
      <family val="1"/>
    </font>
    <font>
      <sz val="10"/>
      <name val="굴림체"/>
      <family val="3"/>
    </font>
    <font>
      <b/>
      <sz val="18"/>
      <name val="Arial"/>
      <family val="2"/>
    </font>
    <font>
      <b/>
      <sz val="12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name val="Aptos"/>
      <family val="2"/>
    </font>
    <font>
      <b/>
      <sz val="10"/>
      <name val="Aptos"/>
      <family val="2"/>
    </font>
    <font>
      <b/>
      <sz val="10"/>
      <color rgb="FFC00000"/>
      <name val="Aptos"/>
      <family val="2"/>
    </font>
    <font>
      <sz val="11"/>
      <name val="Arial"/>
      <family val="2"/>
    </font>
    <font>
      <b/>
      <sz val="8"/>
      <name val="Arial"/>
      <family val="2"/>
    </font>
    <font>
      <b/>
      <sz val="16"/>
      <color rgb="FFC00000"/>
      <name val="Calibri"/>
      <family val="2"/>
      <scheme val="minor"/>
    </font>
    <font>
      <b/>
      <i/>
      <sz val="10"/>
      <color rgb="FFFF0000"/>
      <name val="Calibri"/>
      <family val="2"/>
      <scheme val="minor"/>
    </font>
    <font>
      <i/>
      <sz val="10"/>
      <color rgb="FFFF000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2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35">
    <xf numFmtId="0" fontId="0" fillId="0" borderId="0"/>
    <xf numFmtId="0" fontId="4" fillId="0" borderId="0"/>
    <xf numFmtId="38" fontId="5" fillId="4" borderId="0" applyNumberFormat="0" applyBorder="0" applyAlignment="0" applyProtection="0"/>
    <xf numFmtId="10" fontId="5" fillId="5" borderId="3" applyNumberFormat="0" applyBorder="0" applyAlignment="0" applyProtection="0"/>
    <xf numFmtId="164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8" fontId="7" fillId="0" borderId="0"/>
    <xf numFmtId="0" fontId="3" fillId="0" borderId="0"/>
    <xf numFmtId="0" fontId="4" fillId="0" borderId="0"/>
    <xf numFmtId="0" fontId="4" fillId="0" borderId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0" fontId="4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3" fillId="0" borderId="0"/>
    <xf numFmtId="167" fontId="4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8" fillId="0" borderId="0"/>
    <xf numFmtId="167" fontId="3" fillId="0" borderId="0" applyFont="0" applyFill="0" applyBorder="0" applyAlignment="0" applyProtection="0"/>
    <xf numFmtId="0" fontId="3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3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3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" fontId="4" fillId="0" borderId="0" applyFont="0" applyFill="0" applyBorder="0" applyAlignment="0" applyProtection="0"/>
    <xf numFmtId="172" fontId="9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0" fontId="10" fillId="0" borderId="0" applyFont="0" applyFill="0" applyBorder="0" applyAlignment="0" applyProtection="0"/>
    <xf numFmtId="38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10" fontId="4" fillId="0" borderId="0" applyFont="0" applyFill="0" applyBorder="0" applyAlignment="0" applyProtection="0"/>
    <xf numFmtId="0" fontId="11" fillId="0" borderId="0"/>
    <xf numFmtId="173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12" fillId="0" borderId="0" applyFont="0" applyFill="0" applyBorder="0" applyAlignment="0" applyProtection="0"/>
    <xf numFmtId="176" fontId="12" fillId="0" borderId="0" applyFont="0" applyFill="0" applyBorder="0" applyAlignment="0" applyProtection="0"/>
    <xf numFmtId="0" fontId="13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3" fontId="4" fillId="0" borderId="0" applyFont="0" applyFill="0" applyBorder="0" applyAlignment="0" applyProtection="0"/>
    <xf numFmtId="3" fontId="4" fillId="0" borderId="0" applyFont="0" applyFill="0" applyBorder="0" applyAlignment="0" applyProtection="0"/>
    <xf numFmtId="3" fontId="4" fillId="0" borderId="0" applyFont="0" applyFill="0" applyBorder="0" applyAlignment="0" applyProtection="0"/>
    <xf numFmtId="3" fontId="4" fillId="0" borderId="0" applyFont="0" applyFill="0" applyBorder="0" applyAlignment="0" applyProtection="0"/>
    <xf numFmtId="3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" fontId="4" fillId="0" borderId="0" applyFont="0" applyFill="0" applyBorder="0" applyAlignment="0" applyProtection="0"/>
    <xf numFmtId="2" fontId="4" fillId="0" borderId="0" applyFont="0" applyFill="0" applyBorder="0" applyAlignment="0" applyProtection="0"/>
    <xf numFmtId="2" fontId="4" fillId="0" borderId="0" applyFont="0" applyFill="0" applyBorder="0" applyAlignment="0" applyProtection="0"/>
    <xf numFmtId="2" fontId="4" fillId="0" borderId="0" applyFont="0" applyFill="0" applyBorder="0" applyAlignment="0" applyProtection="0"/>
    <xf numFmtId="2" fontId="4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20" applyNumberFormat="0" applyFont="0" applyFill="0" applyAlignment="0" applyProtection="0"/>
    <xf numFmtId="0" fontId="4" fillId="0" borderId="20" applyNumberFormat="0" applyFont="0" applyFill="0" applyAlignment="0" applyProtection="0"/>
    <xf numFmtId="0" fontId="4" fillId="0" borderId="20" applyNumberFormat="0" applyFont="0" applyFill="0" applyAlignment="0" applyProtection="0"/>
    <xf numFmtId="0" fontId="4" fillId="0" borderId="20" applyNumberFormat="0" applyFont="0" applyFill="0" applyAlignment="0" applyProtection="0"/>
    <xf numFmtId="0" fontId="4" fillId="0" borderId="20" applyNumberFormat="0" applyFont="0" applyFill="0" applyAlignment="0" applyProtection="0"/>
    <xf numFmtId="0" fontId="4" fillId="0" borderId="20" applyNumberFormat="0" applyFont="0" applyFill="0" applyAlignment="0" applyProtection="0"/>
    <xf numFmtId="0" fontId="4" fillId="0" borderId="20" applyNumberFormat="0" applyFont="0" applyFill="0" applyAlignment="0" applyProtection="0"/>
    <xf numFmtId="0" fontId="4" fillId="0" borderId="20" applyNumberFormat="0" applyFont="0" applyFill="0" applyAlignment="0" applyProtection="0"/>
    <xf numFmtId="0" fontId="4" fillId="0" borderId="20" applyNumberFormat="0" applyFont="0" applyFill="0" applyAlignment="0" applyProtection="0"/>
    <xf numFmtId="0" fontId="4" fillId="0" borderId="20" applyNumberFormat="0" applyFont="0" applyFill="0" applyAlignment="0" applyProtection="0"/>
    <xf numFmtId="0" fontId="4" fillId="0" borderId="20" applyNumberFormat="0" applyFont="0" applyFill="0" applyAlignment="0" applyProtection="0"/>
    <xf numFmtId="0" fontId="4" fillId="0" borderId="20" applyNumberFormat="0" applyFont="0" applyFill="0" applyAlignment="0" applyProtection="0"/>
    <xf numFmtId="0" fontId="4" fillId="0" borderId="20" applyNumberFormat="0" applyFont="0" applyFill="0" applyAlignment="0" applyProtection="0"/>
    <xf numFmtId="0" fontId="4" fillId="0" borderId="20" applyNumberFormat="0" applyFont="0" applyFill="0" applyAlignment="0" applyProtection="0"/>
    <xf numFmtId="0" fontId="4" fillId="0" borderId="20" applyNumberFormat="0" applyFont="0" applyFill="0" applyAlignment="0" applyProtection="0"/>
    <xf numFmtId="0" fontId="4" fillId="0" borderId="20" applyNumberFormat="0" applyFont="0" applyFill="0" applyAlignment="0" applyProtection="0"/>
    <xf numFmtId="0" fontId="4" fillId="0" borderId="20" applyNumberFormat="0" applyFont="0" applyFill="0" applyAlignment="0" applyProtection="0"/>
    <xf numFmtId="0" fontId="4" fillId="0" borderId="20" applyNumberFormat="0" applyFont="0" applyFill="0" applyAlignment="0" applyProtection="0"/>
    <xf numFmtId="0" fontId="4" fillId="0" borderId="20" applyNumberFormat="0" applyFont="0" applyFill="0" applyAlignment="0" applyProtection="0"/>
    <xf numFmtId="0" fontId="4" fillId="0" borderId="20" applyNumberFormat="0" applyFont="0" applyFill="0" applyAlignment="0" applyProtection="0"/>
    <xf numFmtId="0" fontId="4" fillId="0" borderId="20" applyNumberFormat="0" applyFont="0" applyFill="0" applyAlignment="0" applyProtection="0"/>
    <xf numFmtId="0" fontId="4" fillId="0" borderId="20" applyNumberFormat="0" applyFont="0" applyFill="0" applyAlignment="0" applyProtection="0"/>
    <xf numFmtId="0" fontId="4" fillId="0" borderId="20" applyNumberFormat="0" applyFont="0" applyFill="0" applyAlignment="0" applyProtection="0"/>
    <xf numFmtId="0" fontId="4" fillId="0" borderId="20" applyNumberFormat="0" applyFont="0" applyFill="0" applyAlignment="0" applyProtection="0"/>
    <xf numFmtId="0" fontId="4" fillId="0" borderId="20" applyNumberFormat="0" applyFont="0" applyFill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4" fillId="0" borderId="0"/>
    <xf numFmtId="0" fontId="3" fillId="0" borderId="0"/>
    <xf numFmtId="0" fontId="3" fillId="0" borderId="0"/>
    <xf numFmtId="168" fontId="7" fillId="0" borderId="0"/>
    <xf numFmtId="0" fontId="4" fillId="0" borderId="0"/>
    <xf numFmtId="168" fontId="7" fillId="0" borderId="0"/>
    <xf numFmtId="0" fontId="4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90">
    <xf numFmtId="0" fontId="0" fillId="0" borderId="0" xfId="0"/>
    <xf numFmtId="0" fontId="2" fillId="0" borderId="6" xfId="0" applyFont="1" applyBorder="1" applyAlignment="1">
      <alignment vertical="center"/>
    </xf>
    <xf numFmtId="166" fontId="1" fillId="0" borderId="3" xfId="0" applyNumberFormat="1" applyFont="1" applyBorder="1" applyAlignment="1">
      <alignment horizontal="center" vertical="center"/>
    </xf>
    <xf numFmtId="166" fontId="1" fillId="0" borderId="4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166" fontId="1" fillId="0" borderId="1" xfId="0" applyNumberFormat="1" applyFont="1" applyBorder="1" applyAlignment="1">
      <alignment horizontal="center" vertical="center"/>
    </xf>
    <xf numFmtId="166" fontId="1" fillId="0" borderId="2" xfId="0" applyNumberFormat="1" applyFont="1" applyBorder="1" applyAlignment="1">
      <alignment horizontal="center" vertical="center"/>
    </xf>
    <xf numFmtId="0" fontId="1" fillId="0" borderId="0" xfId="0" applyFont="1"/>
    <xf numFmtId="0" fontId="21" fillId="0" borderId="15" xfId="0" applyFont="1" applyBorder="1" applyAlignment="1">
      <alignment horizontal="left" vertical="center"/>
    </xf>
    <xf numFmtId="0" fontId="22" fillId="2" borderId="18" xfId="0" quotePrefix="1" applyFont="1" applyFill="1" applyBorder="1" applyAlignment="1">
      <alignment horizontal="left"/>
    </xf>
    <xf numFmtId="0" fontId="22" fillId="2" borderId="19" xfId="0" applyFont="1" applyFill="1" applyBorder="1" applyAlignment="1">
      <alignment horizontal="center"/>
    </xf>
    <xf numFmtId="0" fontId="23" fillId="0" borderId="0" xfId="0" applyFont="1"/>
    <xf numFmtId="0" fontId="20" fillId="2" borderId="18" xfId="0" quotePrefix="1" applyFont="1" applyFill="1" applyBorder="1"/>
    <xf numFmtId="0" fontId="20" fillId="2" borderId="0" xfId="0" applyFont="1" applyFill="1" applyAlignment="1">
      <alignment horizontal="center"/>
    </xf>
    <xf numFmtId="0" fontId="20" fillId="2" borderId="0" xfId="0" applyFont="1" applyFill="1" applyAlignment="1">
      <alignment horizontal="left"/>
    </xf>
    <xf numFmtId="0" fontId="20" fillId="0" borderId="0" xfId="0" applyFont="1" applyAlignment="1">
      <alignment horizontal="center"/>
    </xf>
    <xf numFmtId="0" fontId="20" fillId="0" borderId="19" xfId="0" applyFont="1" applyBorder="1" applyAlignment="1">
      <alignment horizontal="center"/>
    </xf>
    <xf numFmtId="0" fontId="20" fillId="2" borderId="18" xfId="0" applyFont="1" applyFill="1" applyBorder="1"/>
    <xf numFmtId="0" fontId="20" fillId="2" borderId="19" xfId="0" applyFont="1" applyFill="1" applyBorder="1" applyAlignment="1">
      <alignment horizontal="center"/>
    </xf>
    <xf numFmtId="0" fontId="16" fillId="0" borderId="0" xfId="0" applyFont="1"/>
    <xf numFmtId="0" fontId="20" fillId="0" borderId="18" xfId="0" applyFont="1" applyBorder="1"/>
    <xf numFmtId="0" fontId="20" fillId="0" borderId="16" xfId="0" applyFont="1" applyBorder="1" applyAlignment="1">
      <alignment horizontal="center"/>
    </xf>
    <xf numFmtId="0" fontId="20" fillId="0" borderId="17" xfId="0" applyFont="1" applyBorder="1" applyAlignment="1">
      <alignment horizontal="center"/>
    </xf>
    <xf numFmtId="0" fontId="22" fillId="0" borderId="18" xfId="0" applyFont="1" applyBorder="1"/>
    <xf numFmtId="0" fontId="22" fillId="0" borderId="12" xfId="0" applyFont="1" applyBorder="1" applyAlignment="1">
      <alignment vertical="center"/>
    </xf>
    <xf numFmtId="0" fontId="19" fillId="0" borderId="7" xfId="0" applyFont="1" applyBorder="1" applyAlignment="1">
      <alignment vertical="center"/>
    </xf>
    <xf numFmtId="0" fontId="16" fillId="0" borderId="0" xfId="0" applyFont="1" applyAlignment="1">
      <alignment horizontal="center"/>
    </xf>
    <xf numFmtId="0" fontId="20" fillId="0" borderId="0" xfId="0" applyFont="1"/>
    <xf numFmtId="0" fontId="24" fillId="0" borderId="8" xfId="0" applyFont="1" applyBorder="1" applyAlignment="1">
      <alignment horizontal="left" vertical="center"/>
    </xf>
    <xf numFmtId="0" fontId="24" fillId="0" borderId="9" xfId="0" applyFont="1" applyBorder="1" applyAlignment="1">
      <alignment horizontal="left" vertical="center"/>
    </xf>
    <xf numFmtId="0" fontId="26" fillId="3" borderId="15" xfId="0" applyFont="1" applyFill="1" applyBorder="1"/>
    <xf numFmtId="0" fontId="27" fillId="3" borderId="16" xfId="0" applyFont="1" applyFill="1" applyBorder="1" applyAlignment="1">
      <alignment horizontal="center"/>
    </xf>
    <xf numFmtId="0" fontId="27" fillId="3" borderId="17" xfId="0" applyFont="1" applyFill="1" applyBorder="1" applyAlignment="1">
      <alignment horizontal="center"/>
    </xf>
    <xf numFmtId="0" fontId="28" fillId="0" borderId="0" xfId="0" applyFont="1" applyAlignment="1">
      <alignment horizontal="center"/>
    </xf>
    <xf numFmtId="0" fontId="26" fillId="3" borderId="12" xfId="0" applyFont="1" applyFill="1" applyBorder="1"/>
    <xf numFmtId="0" fontId="27" fillId="3" borderId="13" xfId="0" applyFont="1" applyFill="1" applyBorder="1" applyAlignment="1">
      <alignment horizontal="center"/>
    </xf>
    <xf numFmtId="0" fontId="27" fillId="3" borderId="14" xfId="0" applyFont="1" applyFill="1" applyBorder="1" applyAlignment="1">
      <alignment horizontal="center"/>
    </xf>
    <xf numFmtId="0" fontId="29" fillId="0" borderId="0" xfId="0" applyFont="1" applyAlignment="1">
      <alignment horizontal="center"/>
    </xf>
    <xf numFmtId="0" fontId="20" fillId="2" borderId="18" xfId="0" quotePrefix="1" applyFont="1" applyFill="1" applyBorder="1" applyAlignment="1">
      <alignment vertical="center"/>
    </xf>
    <xf numFmtId="0" fontId="16" fillId="0" borderId="0" xfId="0" applyFont="1" applyAlignment="1">
      <alignment horizontal="left" vertical="center" wrapText="1"/>
    </xf>
    <xf numFmtId="0" fontId="20" fillId="2" borderId="12" xfId="0" applyFont="1" applyFill="1" applyBorder="1" applyAlignment="1">
      <alignment horizontal="left"/>
    </xf>
    <xf numFmtId="0" fontId="20" fillId="2" borderId="13" xfId="0" applyFont="1" applyFill="1" applyBorder="1" applyAlignment="1">
      <alignment horizontal="left"/>
    </xf>
    <xf numFmtId="0" fontId="20" fillId="2" borderId="14" xfId="0" applyFont="1" applyFill="1" applyBorder="1" applyAlignment="1">
      <alignment horizontal="left"/>
    </xf>
    <xf numFmtId="0" fontId="16" fillId="0" borderId="0" xfId="0" applyFont="1" applyAlignment="1">
      <alignment horizontal="left"/>
    </xf>
    <xf numFmtId="0" fontId="22" fillId="0" borderId="13" xfId="0" applyFont="1" applyBorder="1"/>
    <xf numFmtId="0" fontId="22" fillId="0" borderId="13" xfId="0" applyFont="1" applyBorder="1" applyAlignment="1">
      <alignment horizontal="center"/>
    </xf>
    <xf numFmtId="0" fontId="22" fillId="0" borderId="14" xfId="0" applyFont="1" applyBorder="1" applyAlignment="1">
      <alignment horizontal="center"/>
    </xf>
    <xf numFmtId="0" fontId="22" fillId="2" borderId="0" xfId="0" applyFont="1" applyFill="1" applyAlignment="1">
      <alignment horizontal="center"/>
    </xf>
    <xf numFmtId="0" fontId="22" fillId="2" borderId="0" xfId="0" applyFont="1" applyFill="1" applyAlignment="1">
      <alignment horizontal="left"/>
    </xf>
    <xf numFmtId="0" fontId="20" fillId="0" borderId="16" xfId="0" applyFont="1" applyBorder="1" applyAlignment="1">
      <alignment horizontal="left"/>
    </xf>
    <xf numFmtId="0" fontId="20" fillId="6" borderId="18" xfId="0" applyFont="1" applyFill="1" applyBorder="1"/>
    <xf numFmtId="0" fontId="20" fillId="6" borderId="0" xfId="0" applyFont="1" applyFill="1" applyAlignment="1">
      <alignment horizontal="center"/>
    </xf>
    <xf numFmtId="0" fontId="20" fillId="6" borderId="0" xfId="0" applyFont="1" applyFill="1" applyAlignment="1">
      <alignment vertical="center"/>
    </xf>
    <xf numFmtId="0" fontId="20" fillId="6" borderId="0" xfId="0" applyFont="1" applyFill="1" applyAlignment="1">
      <alignment horizontal="left"/>
    </xf>
    <xf numFmtId="0" fontId="20" fillId="6" borderId="19" xfId="0" applyFont="1" applyFill="1" applyBorder="1" applyAlignment="1">
      <alignment horizontal="center"/>
    </xf>
    <xf numFmtId="0" fontId="19" fillId="0" borderId="3" xfId="0" applyFont="1" applyBorder="1" applyAlignment="1">
      <alignment horizontal="center"/>
    </xf>
    <xf numFmtId="0" fontId="19" fillId="0" borderId="21" xfId="0" applyFont="1" applyBorder="1" applyAlignment="1">
      <alignment horizontal="center"/>
    </xf>
    <xf numFmtId="0" fontId="19" fillId="0" borderId="22" xfId="0" applyFont="1" applyBorder="1" applyAlignment="1">
      <alignment horizontal="center"/>
    </xf>
    <xf numFmtId="0" fontId="19" fillId="0" borderId="23" xfId="0" applyFont="1" applyBorder="1" applyAlignment="1">
      <alignment horizontal="center"/>
    </xf>
    <xf numFmtId="0" fontId="19" fillId="0" borderId="10" xfId="0" applyFont="1" applyBorder="1" applyAlignment="1">
      <alignment horizontal="center"/>
    </xf>
    <xf numFmtId="0" fontId="19" fillId="0" borderId="11" xfId="0" applyFont="1" applyBorder="1" applyAlignment="1">
      <alignment horizontal="center"/>
    </xf>
    <xf numFmtId="0" fontId="19" fillId="0" borderId="24" xfId="0" applyFont="1" applyBorder="1" applyAlignment="1">
      <alignment horizontal="center"/>
    </xf>
    <xf numFmtId="0" fontId="19" fillId="0" borderId="25" xfId="0" applyFont="1" applyBorder="1" applyAlignment="1">
      <alignment horizontal="center"/>
    </xf>
    <xf numFmtId="0" fontId="19" fillId="0" borderId="26" xfId="0" applyFont="1" applyBorder="1" applyAlignment="1">
      <alignment horizontal="center"/>
    </xf>
    <xf numFmtId="0" fontId="17" fillId="0" borderId="15" xfId="0" applyFont="1" applyBorder="1" applyAlignment="1">
      <alignment horizontal="center" vertical="center" wrapText="1"/>
    </xf>
    <xf numFmtId="0" fontId="17" fillId="0" borderId="30" xfId="0" applyFont="1" applyBorder="1" applyAlignment="1">
      <alignment vertical="center"/>
    </xf>
    <xf numFmtId="0" fontId="17" fillId="0" borderId="31" xfId="0" applyFont="1" applyBorder="1" applyAlignment="1">
      <alignment vertical="center"/>
    </xf>
    <xf numFmtId="0" fontId="17" fillId="2" borderId="31" xfId="0" applyFont="1" applyFill="1" applyBorder="1" applyAlignment="1">
      <alignment vertical="center"/>
    </xf>
    <xf numFmtId="0" fontId="17" fillId="0" borderId="32" xfId="0" applyFont="1" applyBorder="1" applyAlignment="1">
      <alignment vertical="center"/>
    </xf>
    <xf numFmtId="0" fontId="17" fillId="3" borderId="33" xfId="0" applyFont="1" applyFill="1" applyBorder="1" applyAlignment="1">
      <alignment horizontal="center" vertical="center"/>
    </xf>
    <xf numFmtId="0" fontId="17" fillId="3" borderId="34" xfId="0" applyFont="1" applyFill="1" applyBorder="1" applyAlignment="1">
      <alignment horizontal="center" vertical="center"/>
    </xf>
    <xf numFmtId="0" fontId="17" fillId="3" borderId="35" xfId="0" applyFont="1" applyFill="1" applyBorder="1" applyAlignment="1">
      <alignment horizontal="center" vertical="center"/>
    </xf>
    <xf numFmtId="0" fontId="18" fillId="2" borderId="18" xfId="0" quotePrefix="1" applyFont="1" applyFill="1" applyBorder="1" applyAlignment="1">
      <alignment horizontal="center"/>
    </xf>
    <xf numFmtId="0" fontId="18" fillId="2" borderId="0" xfId="0" quotePrefix="1" applyFont="1" applyFill="1" applyAlignment="1">
      <alignment horizontal="center"/>
    </xf>
    <xf numFmtId="0" fontId="18" fillId="2" borderId="19" xfId="0" quotePrefix="1" applyFont="1" applyFill="1" applyBorder="1" applyAlignment="1">
      <alignment horizontal="center"/>
    </xf>
    <xf numFmtId="0" fontId="21" fillId="2" borderId="18" xfId="0" applyFont="1" applyFill="1" applyBorder="1" applyAlignment="1">
      <alignment horizontal="center"/>
    </xf>
    <xf numFmtId="0" fontId="21" fillId="2" borderId="0" xfId="0" applyFont="1" applyFill="1" applyAlignment="1">
      <alignment horizontal="center"/>
    </xf>
    <xf numFmtId="0" fontId="21" fillId="2" borderId="19" xfId="0" applyFont="1" applyFill="1" applyBorder="1" applyAlignment="1">
      <alignment horizontal="center"/>
    </xf>
    <xf numFmtId="0" fontId="20" fillId="2" borderId="0" xfId="0" applyFont="1" applyFill="1" applyAlignment="1">
      <alignment horizontal="center" vertical="center" wrapText="1"/>
    </xf>
    <xf numFmtId="0" fontId="20" fillId="2" borderId="19" xfId="0" applyFont="1" applyFill="1" applyBorder="1" applyAlignment="1">
      <alignment horizontal="center" vertical="center" wrapText="1"/>
    </xf>
    <xf numFmtId="0" fontId="25" fillId="3" borderId="15" xfId="0" applyFont="1" applyFill="1" applyBorder="1" applyAlignment="1">
      <alignment horizontal="center" vertical="center" wrapText="1"/>
    </xf>
    <xf numFmtId="0" fontId="25" fillId="3" borderId="18" xfId="0" applyFont="1" applyFill="1" applyBorder="1" applyAlignment="1">
      <alignment horizontal="center" vertical="center" wrapText="1"/>
    </xf>
    <xf numFmtId="0" fontId="17" fillId="3" borderId="7" xfId="0" applyFont="1" applyFill="1" applyBorder="1" applyAlignment="1">
      <alignment horizontal="center" vertical="center"/>
    </xf>
    <xf numFmtId="0" fontId="17" fillId="3" borderId="8" xfId="0" applyFont="1" applyFill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/>
    </xf>
    <xf numFmtId="0" fontId="17" fillId="3" borderId="7" xfId="0" applyFont="1" applyFill="1" applyBorder="1" applyAlignment="1">
      <alignment horizontal="center" vertical="center" wrapText="1"/>
    </xf>
    <xf numFmtId="0" fontId="17" fillId="3" borderId="27" xfId="0" applyFont="1" applyFill="1" applyBorder="1" applyAlignment="1">
      <alignment horizontal="center" vertical="center" wrapText="1"/>
    </xf>
    <xf numFmtId="0" fontId="17" fillId="3" borderId="28" xfId="0" applyFont="1" applyFill="1" applyBorder="1" applyAlignment="1">
      <alignment horizontal="center" vertical="center" wrapText="1"/>
    </xf>
    <xf numFmtId="0" fontId="17" fillId="3" borderId="28" xfId="0" applyFont="1" applyFill="1" applyBorder="1" applyAlignment="1">
      <alignment horizontal="center" vertical="center"/>
    </xf>
    <xf numFmtId="0" fontId="17" fillId="3" borderId="29" xfId="0" applyFont="1" applyFill="1" applyBorder="1" applyAlignment="1">
      <alignment horizontal="center" vertical="center"/>
    </xf>
  </cellXfs>
  <cellStyles count="435">
    <cellStyle name="Comma 10" xfId="25" xr:uid="{3AED80CE-EA9B-482E-9340-34B460F224BD}"/>
    <cellStyle name="Comma 13" xfId="31" xr:uid="{97BDA78C-0928-4F79-B4B2-A35285DE4619}"/>
    <cellStyle name="Comma 13 2" xfId="107" xr:uid="{F35CF9D7-21DB-4993-9CC3-C1315AE192AC}"/>
    <cellStyle name="Comma 13 2 2" xfId="377" xr:uid="{F49FE0E3-5A38-489E-8A2E-ADB8F58C306C}"/>
    <cellStyle name="Comma 13 3" xfId="108" xr:uid="{8ABC8E03-C5C0-42D6-BA54-39F981987137}"/>
    <cellStyle name="Comma 13 3 2" xfId="378" xr:uid="{25C617FF-B0C5-4A23-AC82-C3AB457E50A3}"/>
    <cellStyle name="Comma 13 4" xfId="109" xr:uid="{F19EF1D6-480F-46AE-8503-E2F69D53D2D9}"/>
    <cellStyle name="Comma 13 4 2" xfId="379" xr:uid="{330550BA-1F0D-48C0-8BB1-9512B16600C1}"/>
    <cellStyle name="Comma 13 5" xfId="110" xr:uid="{D214DB4B-DFFD-4629-A626-5BD6EDF5F174}"/>
    <cellStyle name="Comma 13 5 2" xfId="380" xr:uid="{7F9ED4A0-FD89-4730-995E-AA18C85AF246}"/>
    <cellStyle name="Comma 13 6" xfId="368" xr:uid="{3B0E8A35-1721-4D57-964E-773B589BD04C}"/>
    <cellStyle name="Comma 14" xfId="111" xr:uid="{6E3263C8-6016-482C-BAB1-FC78C10DC8E4}"/>
    <cellStyle name="Comma 14 2" xfId="112" xr:uid="{2853FE2B-B3C9-45FE-9EB1-8034B6A88437}"/>
    <cellStyle name="Comma 14 2 2" xfId="382" xr:uid="{79B168B3-1996-41AE-9B11-D20A7C34F81C}"/>
    <cellStyle name="Comma 14 3" xfId="381" xr:uid="{3E3696E8-7454-4C1F-8AC8-5F4679688ADE}"/>
    <cellStyle name="Comma 2" xfId="17" xr:uid="{7133C07E-9B39-4CF9-8CD8-ACCF457373EC}"/>
    <cellStyle name="Comma 2 10" xfId="21" xr:uid="{76F3AB52-833E-4E1E-BD24-FD24B2F9FEDD}"/>
    <cellStyle name="Comma 2 10 2" xfId="114" xr:uid="{E08C98F9-8FAA-4E4A-BAD6-91DCB799FCC2}"/>
    <cellStyle name="Comma 2 10 2 2" xfId="383" xr:uid="{E0678F3B-0A61-4B61-87D5-C08D8D723AF1}"/>
    <cellStyle name="Comma 2 10 3" xfId="19" xr:uid="{421B706A-49E9-438A-B4ED-289A80C03D3B}"/>
    <cellStyle name="Comma 2 10 3 2" xfId="356" xr:uid="{56BACCFA-2C54-41D5-A422-8555A108C046}"/>
    <cellStyle name="Comma 2 10 4" xfId="355" xr:uid="{A87162C6-AA1C-403B-9E2F-22FE34D685ED}"/>
    <cellStyle name="Comma 2 10 5" xfId="113" xr:uid="{7DF2B9FD-DEA5-4C5B-BE7F-9A79F87E5152}"/>
    <cellStyle name="Comma 2 11" xfId="115" xr:uid="{B5F75AE9-52BD-4E28-8F02-51C72A306CB0}"/>
    <cellStyle name="Comma 2 11 2" xfId="116" xr:uid="{1AB89ACD-A867-46DB-A192-4BD4653757F6}"/>
    <cellStyle name="Comma 2 11 2 2" xfId="385" xr:uid="{B22136DA-865D-4EE4-A611-EC7E8EE9DB77}"/>
    <cellStyle name="Comma 2 11 3" xfId="384" xr:uid="{55A95B03-89D5-4542-8503-3FD3B0977A63}"/>
    <cellStyle name="Comma 2 12" xfId="117" xr:uid="{0972BAF7-66DC-40F2-B2E6-70187D72E9FF}"/>
    <cellStyle name="Comma 2 12 2" xfId="118" xr:uid="{940BBA2E-DCCD-4BAE-AB9B-B2D9F1C47F3D}"/>
    <cellStyle name="Comma 2 12 2 2" xfId="387" xr:uid="{02519483-D9EF-40D2-BB31-8573B4A5A51A}"/>
    <cellStyle name="Comma 2 12 3" xfId="386" xr:uid="{129BA9D5-6EC8-400F-A673-52FA01DB8494}"/>
    <cellStyle name="Comma 2 13" xfId="119" xr:uid="{79B9372F-C742-413D-BD30-1BA2DA931A78}"/>
    <cellStyle name="Comma 2 13 2" xfId="120" xr:uid="{CB25B503-9FB4-4302-8418-D3B1FFD815DF}"/>
    <cellStyle name="Comma 2 13 2 2" xfId="389" xr:uid="{CA6D5EC9-D4BC-477E-8CDA-6EA62757DAE8}"/>
    <cellStyle name="Comma 2 13 3" xfId="388" xr:uid="{656C1BF2-C21C-48B5-82C4-D2D26436C93F}"/>
    <cellStyle name="Comma 2 14" xfId="23" xr:uid="{D519CB68-835D-4603-84AA-9F47C2719C3E}"/>
    <cellStyle name="Comma 2 14 2" xfId="353" xr:uid="{4136E3ED-F8C5-4269-9DAC-1F1FA61DBD7F}"/>
    <cellStyle name="Comma 2 2" xfId="16" xr:uid="{7AC317F2-85D9-4025-A501-60423A6FD6BB}"/>
    <cellStyle name="Comma 2 2 2" xfId="30" xr:uid="{A62CD62A-CBBC-4533-95AC-32ECED332830}"/>
    <cellStyle name="Comma 2 2 2 2" xfId="69" xr:uid="{C4644A0C-07B4-45B0-95EB-FF72F9B6E052}"/>
    <cellStyle name="Comma 2 2 2 2 2" xfId="350" xr:uid="{DE092EE6-3819-4876-A065-782F9E4668BF}"/>
    <cellStyle name="Comma 2 2 2 2 2 2" xfId="351" xr:uid="{A191166C-C455-439B-B768-477213C7040E}"/>
    <cellStyle name="Comma 2 2 2 2 2 2 2" xfId="420" xr:uid="{A9E3273C-087E-483C-A812-DC542C9A44C3}"/>
    <cellStyle name="Comma 2 2 2 2 2 3" xfId="419" xr:uid="{9F1E12CC-9139-444B-8D06-1327BA844C6F}"/>
    <cellStyle name="Comma 2 2 2 2 3" xfId="375" xr:uid="{5C085D45-B808-47B3-A47E-480095913E6C}"/>
    <cellStyle name="Comma 2 2 2 3" xfId="367" xr:uid="{92C29B20-C09D-4860-9644-49F3671C2A1C}"/>
    <cellStyle name="Comma 2 2 3" xfId="70" xr:uid="{1B523256-9A5E-4968-A6A9-4DA8DF2629D1}"/>
    <cellStyle name="Comma 2 2 3 2" xfId="376" xr:uid="{5803C9DA-4F4E-4C14-B0A3-549EFAFBB496}"/>
    <cellStyle name="Comma 2 2 4" xfId="121" xr:uid="{503432E2-0344-455D-B75A-270771A3F72D}"/>
    <cellStyle name="Comma 2 2 4 2" xfId="390" xr:uid="{5D5D6567-355E-4E83-8E26-50B276F9C2B8}"/>
    <cellStyle name="Comma 2 2 5" xfId="122" xr:uid="{DBF1FAE8-D515-4AEF-A349-4750D699B871}"/>
    <cellStyle name="Comma 2 2 5 2" xfId="391" xr:uid="{283E38BC-AC93-4E7A-B549-697C7E13C191}"/>
    <cellStyle name="Comma 2 2 6" xfId="364" xr:uid="{1777C009-8EF2-4780-A5B4-3577BFDE758D}"/>
    <cellStyle name="Comma 2 3" xfId="28" xr:uid="{C1156869-1704-4152-9F4E-E7C3E37D6D8D}"/>
    <cellStyle name="Comma 2 3 2" xfId="32" xr:uid="{F31BB684-F1D3-44D1-932B-D2EEC240C41B}"/>
    <cellStyle name="Comma 2 3 2 2" xfId="369" xr:uid="{BC74E3F6-5EDE-4349-9D92-B931AC9DFCA1}"/>
    <cellStyle name="Comma 2 3 3" xfId="366" xr:uid="{632A97A6-3D91-46ED-8A7E-FC00DF4AE6B2}"/>
    <cellStyle name="Comma 2 4" xfId="33" xr:uid="{3E5E7561-69B3-459D-BAA5-1F034389271E}"/>
    <cellStyle name="Comma 2 4 2" xfId="123" xr:uid="{270E3AE0-7679-4E1B-B3B2-FC50E6D8E2A7}"/>
    <cellStyle name="Comma 2 4 2 2" xfId="392" xr:uid="{E9B7AA63-3CAD-412E-9856-12F41ABE17C9}"/>
    <cellStyle name="Comma 2 4 3" xfId="370" xr:uid="{9BB25AD5-76F4-4380-8193-1DC29E016937}"/>
    <cellStyle name="Comma 2 5" xfId="124" xr:uid="{4247A6C0-252D-423C-A164-7F67EBBC6270}"/>
    <cellStyle name="Comma 2 5 2" xfId="125" xr:uid="{8EFC4C71-AF2C-4812-856E-0BFC84792CCE}"/>
    <cellStyle name="Comma 2 5 2 2" xfId="394" xr:uid="{31187D16-D0E3-4D58-AF35-D43A44C77B09}"/>
    <cellStyle name="Comma 2 5 3" xfId="393" xr:uid="{A7D67DB9-2AA9-425B-8CB9-5C17A9C300BD}"/>
    <cellStyle name="Comma 2 6" xfId="126" xr:uid="{EE44ED9C-1313-4C22-B3E5-FA4731C57226}"/>
    <cellStyle name="Comma 2 6 2" xfId="127" xr:uid="{24A92BB5-8731-48F6-8332-3ED3B8CBF76C}"/>
    <cellStyle name="Comma 2 6 2 2" xfId="396" xr:uid="{15BB6218-A953-4C81-9CC0-1F40F839BC29}"/>
    <cellStyle name="Comma 2 6 3" xfId="395" xr:uid="{E9F8B72E-0FA7-4D17-BAC7-ADC9B8813BF9}"/>
    <cellStyle name="Comma 2 7" xfId="128" xr:uid="{216B9A1F-12BE-4AC7-B655-0FD1287C5503}"/>
    <cellStyle name="Comma 2 7 2" xfId="129" xr:uid="{7CCB2F3D-566A-4FC7-8ACD-70E8829BADB8}"/>
    <cellStyle name="Comma 2 7 2 2" xfId="398" xr:uid="{D93F9844-A696-43E8-8E8D-65914192A05D}"/>
    <cellStyle name="Comma 2 7 3" xfId="397" xr:uid="{063EFBC6-11A4-44EC-BB57-31BDD57840E1}"/>
    <cellStyle name="Comma 2 8" xfId="130" xr:uid="{691E15D5-1B3E-4607-82B5-A0787E56C4AE}"/>
    <cellStyle name="Comma 2 8 2" xfId="131" xr:uid="{A4FC4038-9EF9-4C83-BDD9-28F9DD49B402}"/>
    <cellStyle name="Comma 2 8 2 2" xfId="400" xr:uid="{DEF3656A-6829-4CA1-81A7-939DE1AC0C0C}"/>
    <cellStyle name="Comma 2 8 3" xfId="399" xr:uid="{B5FA1F23-4A9C-4F42-BE32-84BDD8D07885}"/>
    <cellStyle name="Comma 2 9" xfId="132" xr:uid="{1EAFE80E-CBF1-4175-978A-E9A1E6242EF6}"/>
    <cellStyle name="Comma 2 9 2" xfId="133" xr:uid="{F3DCD57C-76DB-4FEF-9516-BF1BF5C16789}"/>
    <cellStyle name="Comma 2 9 2 2" xfId="402" xr:uid="{DAFF0832-0A60-4340-8278-6A023BAB2680}"/>
    <cellStyle name="Comma 2 9 3" xfId="401" xr:uid="{FDEE6E29-6884-4A91-86A1-F4F62C56493C}"/>
    <cellStyle name="Comma 3" xfId="27" xr:uid="{05A99466-E60E-4FC9-82F1-EB4635B477C2}"/>
    <cellStyle name="Comma 3 2" xfId="34" xr:uid="{E9BCB135-BCE6-43E0-A3E9-372381C69CB8}"/>
    <cellStyle name="Comma 3 2 2" xfId="371" xr:uid="{EE98943E-06C4-4E96-B137-7A60CA9CFB88}"/>
    <cellStyle name="Comma 3 3" xfId="35" xr:uid="{2F25EBBC-1B77-459E-9B1E-2B13E6319099}"/>
    <cellStyle name="Comma 3 3 2" xfId="372" xr:uid="{90D51D46-9B59-4EF0-B5A9-CD23745303D7}"/>
    <cellStyle name="Comma 3 4" xfId="365" xr:uid="{655B903B-0378-4FDA-A445-B2880568CADB}"/>
    <cellStyle name="Comma 4" xfId="36" xr:uid="{44F2F344-4CDA-447F-BA56-FBE26535F78A}"/>
    <cellStyle name="Comma 4 2" xfId="373" xr:uid="{F199B599-2D39-48A5-BAA9-9C130C2F5DC3}"/>
    <cellStyle name="Comma 5" xfId="22" xr:uid="{DF255A57-B8B2-437E-A66C-AE542DED6A68}"/>
    <cellStyle name="Comma 5 2" xfId="354" xr:uid="{0AFD562C-E746-4C21-A7FE-9D89D4392D8D}"/>
    <cellStyle name="Comma 6" xfId="352" xr:uid="{F745DC9C-B55A-45BA-A52D-3F2B3781143C}"/>
    <cellStyle name="Comma 7" xfId="134" xr:uid="{6C20E302-C59F-47F0-BDCA-5FFC863262DB}"/>
    <cellStyle name="Comma 7 2" xfId="135" xr:uid="{46CC536F-B5E6-418F-BD49-2A30F1A466CA}"/>
    <cellStyle name="Comma 7 2 2" xfId="136" xr:uid="{5492727A-D1B7-4ED1-ABDB-64AA2D61FC14}"/>
    <cellStyle name="Comma 7 2 2 2" xfId="405" xr:uid="{0579446C-3731-4BE8-95E0-40C632AF3BC9}"/>
    <cellStyle name="Comma 7 2 3" xfId="404" xr:uid="{87D62822-3776-4595-A508-FF8CC42D2BDC}"/>
    <cellStyle name="Comma 7 3" xfId="137" xr:uid="{94B0FD41-8F9B-4603-B5E3-22A441A53C3E}"/>
    <cellStyle name="Comma 7 3 2" xfId="138" xr:uid="{2626E7B7-3B63-4BF0-B191-D0A1DAEF4829}"/>
    <cellStyle name="Comma 7 3 2 2" xfId="407" xr:uid="{0CBB719E-C0EF-40CA-B92D-40AA6BC2E204}"/>
    <cellStyle name="Comma 7 3 3" xfId="406" xr:uid="{D30DC277-1991-478F-8DA2-40A7C77A242A}"/>
    <cellStyle name="Comma 7 4" xfId="139" xr:uid="{C035B944-1CBE-432A-8930-256322471DBF}"/>
    <cellStyle name="Comma 7 4 2" xfId="140" xr:uid="{83BF23CE-6936-44C5-84FF-E74D411648EC}"/>
    <cellStyle name="Comma 7 4 2 2" xfId="409" xr:uid="{64507E2E-6CBC-40A1-B79D-DE6280C6097A}"/>
    <cellStyle name="Comma 7 4 3" xfId="408" xr:uid="{C9D4C191-E6D2-45D1-9E82-07A524AE6647}"/>
    <cellStyle name="Comma 7 5" xfId="141" xr:uid="{622739F7-0341-429B-8004-6E27F09CFB2C}"/>
    <cellStyle name="Comma 7 5 2" xfId="142" xr:uid="{713FD076-7F32-4259-AAD4-CC97DECF3822}"/>
    <cellStyle name="Comma 7 5 2 2" xfId="411" xr:uid="{2F73E896-33AD-4940-89AD-2BB9F3AA46E8}"/>
    <cellStyle name="Comma 7 5 3" xfId="410" xr:uid="{747CADBA-F7B6-49DD-9740-B1D6A656796F}"/>
    <cellStyle name="Comma 7 6" xfId="143" xr:uid="{8917EAF0-D14A-4D23-9DF7-A7587D25F1D0}"/>
    <cellStyle name="Comma 7 6 2" xfId="144" xr:uid="{66B9B011-8664-48E0-BEFF-A01033B4FD57}"/>
    <cellStyle name="Comma 7 6 2 2" xfId="413" xr:uid="{9D2FD577-645B-47D9-BC71-73C20BCE9618}"/>
    <cellStyle name="Comma 7 6 3" xfId="412" xr:uid="{3BFC046D-E872-4951-9086-85F50F1CBE18}"/>
    <cellStyle name="Comma 7 7" xfId="145" xr:uid="{175A5ECD-1B51-44A3-9F95-026BB53B30BA}"/>
    <cellStyle name="Comma 7 7 2" xfId="414" xr:uid="{E1340DB9-6DF5-4E90-A6D7-D7384AA761B5}"/>
    <cellStyle name="Comma 7 8" xfId="403" xr:uid="{22BCD7D3-42DC-474E-8479-4FE0AEB2AFAA}"/>
    <cellStyle name="Comma 8" xfId="37" xr:uid="{69C7AF01-1A99-4DB1-A1B1-1A8D3749B451}"/>
    <cellStyle name="Comma 8 2" xfId="146" xr:uid="{80A221A2-5C3F-45FD-8245-D5BA3592EB64}"/>
    <cellStyle name="Comma 8 2 2" xfId="415" xr:uid="{06FAF706-7664-418E-BBE8-19F49D5A29DD}"/>
    <cellStyle name="Comma 8 3" xfId="147" xr:uid="{53AD7A7E-7301-49B6-8B4A-2C283447FED2}"/>
    <cellStyle name="Comma 8 3 2" xfId="416" xr:uid="{498E034D-5479-4370-83C0-60818CDE22B0}"/>
    <cellStyle name="Comma 8 4" xfId="148" xr:uid="{03297196-AEF7-4715-9229-0B6363F201EE}"/>
    <cellStyle name="Comma 8 4 2" xfId="417" xr:uid="{1828CD58-4B43-41C8-926D-4C3EB9A2F49F}"/>
    <cellStyle name="Comma 8 5" xfId="149" xr:uid="{9C0A3217-B077-4222-853C-6F5204D08816}"/>
    <cellStyle name="Comma 8 5 2" xfId="418" xr:uid="{82916C57-0F30-48BE-9AC5-62CA0F33131B}"/>
    <cellStyle name="Comma 8 6" xfId="374" xr:uid="{CD5CD458-547E-443C-9435-4D00BA1FCE14}"/>
    <cellStyle name="Comma 9" xfId="18" xr:uid="{6842967B-0C5A-42F2-AB01-9E34AD3FDD8E}"/>
    <cellStyle name="Comma0" xfId="38" xr:uid="{AC4666DA-A30A-4920-A451-EA968C1D0878}"/>
    <cellStyle name="Comma0 2" xfId="150" xr:uid="{98FF6B64-1D7F-41B8-BD89-DA0683A74979}"/>
    <cellStyle name="Comma0 3" xfId="151" xr:uid="{3D19A032-9D2C-44D6-800C-7BB0011E3D76}"/>
    <cellStyle name="Comma0 4" xfId="152" xr:uid="{C12DB17F-393D-4305-98E8-BDD00E7939C2}"/>
    <cellStyle name="Comma0 5" xfId="153" xr:uid="{CABB3F96-DB14-4541-9FB7-1BE06D23481D}"/>
    <cellStyle name="Comma0 6" xfId="154" xr:uid="{E04620AF-06F9-40A7-A3E8-48711A8B2D8B}"/>
    <cellStyle name="Currency0" xfId="39" xr:uid="{D9445F6B-6737-4CA9-9218-E6F78AC4E7D4}"/>
    <cellStyle name="Currency0 2" xfId="155" xr:uid="{0A1A5004-71C6-433E-A7FE-8724559ED9D2}"/>
    <cellStyle name="Currency0 3" xfId="156" xr:uid="{00E9AA4F-64F5-4C0C-8ED6-5B1F07F29F50}"/>
    <cellStyle name="Currency0 4" xfId="157" xr:uid="{7EAB5CE2-FAB8-49D5-9D20-E188283C1AEF}"/>
    <cellStyle name="Currency0 5" xfId="158" xr:uid="{2E6C292D-94F8-4B67-A302-4B04CAD99E6D}"/>
    <cellStyle name="Currency0 6" xfId="159" xr:uid="{0A03A344-5C2C-42A4-AC8E-37DE148B689B}"/>
    <cellStyle name="Date" xfId="40" xr:uid="{843550B0-F6CE-4ADA-ADD4-39DCB216161D}"/>
    <cellStyle name="Date 2" xfId="160" xr:uid="{C207C7C0-6B30-457D-B689-B0E65F46D3E0}"/>
    <cellStyle name="Date 3" xfId="161" xr:uid="{B5A8CA56-F9C4-4EE2-B086-1542AB5C5DBA}"/>
    <cellStyle name="Date 4" xfId="162" xr:uid="{8BAE18A2-1A8C-4C29-B7E1-124E41ACCBB6}"/>
    <cellStyle name="Date 5" xfId="163" xr:uid="{1EFEB23E-3449-46BA-AB8B-52F7AD0E8E6B}"/>
    <cellStyle name="Date 6" xfId="164" xr:uid="{B36B91C6-3D7A-418A-B947-60F1E7562D80}"/>
    <cellStyle name="Fixed" xfId="41" xr:uid="{D7CE661B-A0E6-4E2F-999F-084732751F53}"/>
    <cellStyle name="Fixed 2" xfId="165" xr:uid="{6977C60C-1E5B-497A-BDDA-F961C053D881}"/>
    <cellStyle name="Fixed 3" xfId="166" xr:uid="{C9797C7B-0D53-4F89-9717-F23DCB85598B}"/>
    <cellStyle name="Fixed 4" xfId="167" xr:uid="{A8C5F015-3B13-4836-8F71-257725AE2466}"/>
    <cellStyle name="Fixed 5" xfId="168" xr:uid="{05DDA135-02F1-4F93-A037-A2EF0C18CD4B}"/>
    <cellStyle name="Fixed 6" xfId="169" xr:uid="{5C09606A-7EBC-4B7D-91E3-B0983F788F24}"/>
    <cellStyle name="Grey" xfId="2" xr:uid="{3791293B-74C9-4C94-A3EA-8635900988C6}"/>
    <cellStyle name="Heading 1 10" xfId="170" xr:uid="{DFEE7F69-FB04-40B2-942C-B394DDC534EB}"/>
    <cellStyle name="Heading 1 11" xfId="171" xr:uid="{FB6CC0CD-4254-46D0-BAF9-A80E6CF55EAF}"/>
    <cellStyle name="Heading 1 12" xfId="172" xr:uid="{3DC7F1BF-C259-402C-83BF-905ECDCF0AE9}"/>
    <cellStyle name="Heading 1 13" xfId="173" xr:uid="{71948E5C-7BE6-4C89-A749-B04D449112CE}"/>
    <cellStyle name="Heading 1 2" xfId="174" xr:uid="{96EDCEC3-1A77-45A8-B191-528C99C44494}"/>
    <cellStyle name="Heading 1 2 2" xfId="175" xr:uid="{08DDF8E9-2F5C-4D1E-8383-1843D538B40A}"/>
    <cellStyle name="Heading 1 3" xfId="176" xr:uid="{A7814EBC-F7A9-4C16-886F-AEFA4629DDE9}"/>
    <cellStyle name="Heading 1 3 2" xfId="177" xr:uid="{D03A9CDE-4CC9-4331-AACD-68E62048B1D9}"/>
    <cellStyle name="Heading 1 4" xfId="178" xr:uid="{749B32B7-48D9-487B-8F7B-31DBD5B87A8F}"/>
    <cellStyle name="Heading 1 4 2" xfId="179" xr:uid="{CD67FE2B-3AE4-4E1C-9ECB-8AEB2A9BBFE7}"/>
    <cellStyle name="Heading 1 5" xfId="180" xr:uid="{275837F3-7CC3-462F-AD53-C2DBA769C724}"/>
    <cellStyle name="Heading 1 6" xfId="181" xr:uid="{120580E3-1807-43AB-8015-224B8E859333}"/>
    <cellStyle name="Heading 1 7" xfId="182" xr:uid="{C46D450A-244A-436D-8FA1-1739022DFF6B}"/>
    <cellStyle name="Heading 1 8" xfId="183" xr:uid="{410C7B95-BDA4-421A-BE1A-D6BC0CDFA378}"/>
    <cellStyle name="Heading 1 9" xfId="184" xr:uid="{8FEE44E6-C007-4EDF-87D6-F9D9630E3113}"/>
    <cellStyle name="Heading 2 10" xfId="185" xr:uid="{32956A50-3010-4AAA-93D2-777887B905C1}"/>
    <cellStyle name="Heading 2 11" xfId="186" xr:uid="{AB70BBC8-7931-45CA-95BA-D520539E90D7}"/>
    <cellStyle name="Heading 2 12" xfId="187" xr:uid="{57757532-058C-4891-A090-180F2E3176C7}"/>
    <cellStyle name="Heading 2 13" xfId="188" xr:uid="{01A26CA7-B280-4EFC-BD33-47DD0CEA4996}"/>
    <cellStyle name="Heading 2 2" xfId="189" xr:uid="{76B461FB-04D5-4BC2-8FD7-4BCB0572ACB7}"/>
    <cellStyle name="Heading 2 2 2" xfId="190" xr:uid="{0CE95C74-77FC-4300-BDF8-63851087E958}"/>
    <cellStyle name="Heading 2 3" xfId="191" xr:uid="{4FF6646E-A755-4E5A-97F5-397604D4EA64}"/>
    <cellStyle name="Heading 2 3 2" xfId="192" xr:uid="{70BF43D1-5DCF-42A1-9603-517E201DA38B}"/>
    <cellStyle name="Heading 2 4" xfId="193" xr:uid="{2479C81C-1ED1-4B91-9DFE-411991CB879D}"/>
    <cellStyle name="Heading 2 4 2" xfId="194" xr:uid="{ED88D11B-9228-4658-B309-A83684654279}"/>
    <cellStyle name="Heading 2 5" xfId="195" xr:uid="{7FAC2BB0-2AA9-4EDA-AED4-A8277BDE5CDD}"/>
    <cellStyle name="Heading 2 6" xfId="196" xr:uid="{7B6A6F76-88AA-4705-AE7D-EC8B9506F15A}"/>
    <cellStyle name="Heading 2 7" xfId="197" xr:uid="{CDD9A961-6E4D-44E3-BCDF-6F1B550DD838}"/>
    <cellStyle name="Heading 2 8" xfId="198" xr:uid="{73C7E58E-9E14-46B7-97AA-1B25A4642D49}"/>
    <cellStyle name="Heading 2 9" xfId="199" xr:uid="{0968C4C9-78BA-4AED-A85B-996083990F4E}"/>
    <cellStyle name="Input [yellow]" xfId="3" xr:uid="{62B4B7EC-9595-4808-87E5-2C6ED57F5DFA}"/>
    <cellStyle name="Moeda [0]_pldt" xfId="4" xr:uid="{3B31D2E0-A273-45B6-A23B-BDF0DE9C5385}"/>
    <cellStyle name="Moeda_pldt" xfId="5" xr:uid="{6602F687-7692-4EE8-A5D6-287154556C00}"/>
    <cellStyle name="Normal" xfId="0" builtinId="0"/>
    <cellStyle name="Normal - Style1" xfId="6" xr:uid="{2709CB2B-A7F9-4CC9-9E8A-46C8524B4E20}"/>
    <cellStyle name="Normal - Style1 2" xfId="362" xr:uid="{D009F411-CB63-411C-B5BC-723EE47C19FA}"/>
    <cellStyle name="Normal - Style1 3" xfId="42" xr:uid="{F8C4423A-9443-478E-B19D-35AD90FD1F20}"/>
    <cellStyle name="Normal - Style1_MED ADR EAF" xfId="360" xr:uid="{5BA1E406-15E7-4F2F-AA37-E85872B95C93}"/>
    <cellStyle name="Normal 10" xfId="43" xr:uid="{AD8D0FB4-0640-4DFC-AA87-94580B13B750}"/>
    <cellStyle name="Normal 10 2" xfId="71" xr:uid="{5B84CDE9-EF79-4B71-A98F-4D30EA92B8CC}"/>
    <cellStyle name="Normal 10 3" xfId="200" xr:uid="{F2FB8793-1768-452D-98D7-2D8376D75EF2}"/>
    <cellStyle name="Normal 10 4" xfId="201" xr:uid="{3F3F4C24-71F2-4094-A6D6-7C5F9AB35FB1}"/>
    <cellStyle name="Normal 10 5" xfId="202" xr:uid="{48BECD65-568E-4AF4-A9AC-52C001C01255}"/>
    <cellStyle name="Normal 11" xfId="44" xr:uid="{1DABD89C-5C7A-4402-8F79-88145FFC8AD6}"/>
    <cellStyle name="Normal 11 2" xfId="203" xr:uid="{E3714106-6EA7-4B61-8B51-E574D4E4D9DF}"/>
    <cellStyle name="Normal 11 3" xfId="204" xr:uid="{8EEBE993-4B95-4A48-8910-040DAA7C2229}"/>
    <cellStyle name="Normal 11 4" xfId="205" xr:uid="{A094D108-EC1F-4502-AD1A-2B199AF1AA30}"/>
    <cellStyle name="Normal 11 5" xfId="206" xr:uid="{EACD140A-4217-4BC3-A5DF-4CC0CC2A7C61}"/>
    <cellStyle name="Normal 12" xfId="45" xr:uid="{AA490E32-E9FB-4EEE-90FC-85693E134E4E}"/>
    <cellStyle name="Normal 12 2" xfId="207" xr:uid="{C2A5AF5C-1C20-49CB-B001-77DC059157B7}"/>
    <cellStyle name="Normal 12 3" xfId="208" xr:uid="{A944C8B3-C014-466B-98FD-B5D8D87F50F5}"/>
    <cellStyle name="Normal 12 4" xfId="209" xr:uid="{77627B55-5CD5-4463-9688-13CF66A60581}"/>
    <cellStyle name="Normal 12 5" xfId="210" xr:uid="{5249E089-62C9-499F-AACD-74B2505954AE}"/>
    <cellStyle name="Normal 13" xfId="46" xr:uid="{21EA4265-2416-4DD1-9355-124D5CBEBC0D}"/>
    <cellStyle name="Normal 13 2" xfId="211" xr:uid="{25220E39-2CF0-436B-981C-D040122367BA}"/>
    <cellStyle name="Normal 13 3" xfId="212" xr:uid="{A723EDE4-6200-43F4-B9B0-8FCEDC80C246}"/>
    <cellStyle name="Normal 13 4" xfId="213" xr:uid="{88836654-C1CA-4A4E-9185-206119372B73}"/>
    <cellStyle name="Normal 13 5" xfId="214" xr:uid="{18661650-C88A-4494-8AD7-00682068B123}"/>
    <cellStyle name="Normal 14" xfId="47" xr:uid="{B189BDE6-8D00-4F3B-A8B3-B47691A5BD04}"/>
    <cellStyle name="Normal 14 2" xfId="215" xr:uid="{A66364D1-3CB9-42AB-9D0A-537676DDCA67}"/>
    <cellStyle name="Normal 14 2 2" xfId="216" xr:uid="{AA533EE6-8997-458E-A2BB-2847D74A6666}"/>
    <cellStyle name="Normal 14 3" xfId="217" xr:uid="{0081F6C2-80CF-4BDE-BEE9-5348C52C2A7E}"/>
    <cellStyle name="Normal 14 3 2" xfId="218" xr:uid="{DA8F2D30-85F0-4A7E-847E-F13ED403CA6C}"/>
    <cellStyle name="Normal 14 4" xfId="219" xr:uid="{B968CED9-D31E-4250-B979-ACFDC742A79D}"/>
    <cellStyle name="Normal 14 4 2" xfId="220" xr:uid="{207F4D7E-4DB6-4CEF-8982-0FFD8131D55E}"/>
    <cellStyle name="Normal 14 5" xfId="221" xr:uid="{8A7B5399-1D3A-47DA-B2D6-4CC75A0EE181}"/>
    <cellStyle name="Normal 14 5 2" xfId="222" xr:uid="{FFBDF24E-42ED-4373-9E57-3185C3A82E2A}"/>
    <cellStyle name="Normal 14 6" xfId="223" xr:uid="{876CB3A9-22DB-42A7-8C71-E2F7D1DFD7DA}"/>
    <cellStyle name="Normal 14 6 2" xfId="224" xr:uid="{F2A18D45-5FCA-4563-A903-4FF5E7623C39}"/>
    <cellStyle name="Normal 14 7" xfId="225" xr:uid="{9B8A693C-C6E7-4E2C-B5C0-B76D598C399B}"/>
    <cellStyle name="Normal 15" xfId="48" xr:uid="{228CB593-ED0E-485B-A79F-F6B8412E56DE}"/>
    <cellStyle name="Normal 15 2" xfId="226" xr:uid="{4A5211DF-08C1-4DAC-BAFA-F5E3DC942067}"/>
    <cellStyle name="Normal 15 3" xfId="227" xr:uid="{A4AA6022-418F-44B2-85AE-F225F3E7ED95}"/>
    <cellStyle name="Normal 15 4" xfId="228" xr:uid="{CC0F8D57-F95E-40F3-9AC7-68AB133C0BDF}"/>
    <cellStyle name="Normal 15 5" xfId="229" xr:uid="{72AB593C-FAF8-47E8-9E50-1C13682A6E78}"/>
    <cellStyle name="Normal 16" xfId="49" xr:uid="{A8EB8225-A2E7-47E8-B585-9927A4DC2966}"/>
    <cellStyle name="Normal 16 2" xfId="230" xr:uid="{0F9FBC57-B273-4594-9567-21B392C176BD}"/>
    <cellStyle name="Normal 16 3" xfId="231" xr:uid="{C21ABCA7-BCD8-41DA-B609-938B7EABA6AA}"/>
    <cellStyle name="Normal 16 4" xfId="232" xr:uid="{A9E687C9-8DBC-4FD3-939D-4FEAECDB89C3}"/>
    <cellStyle name="Normal 16 5" xfId="233" xr:uid="{13FE87BA-8162-4305-A02B-163B099BE6AD}"/>
    <cellStyle name="Normal 17" xfId="50" xr:uid="{2B51576A-9915-4A4B-898B-967192DFA192}"/>
    <cellStyle name="Normal 17 2" xfId="234" xr:uid="{B4661F6B-41D8-4C21-8BAF-D02E61DFC5EC}"/>
    <cellStyle name="Normal 17 3" xfId="235" xr:uid="{4B38A464-B07E-4C80-8C11-D66F8A62057C}"/>
    <cellStyle name="Normal 17 4" xfId="236" xr:uid="{864DBB23-C5FB-4CC0-9EA8-B8C29E215661}"/>
    <cellStyle name="Normal 17 5" xfId="237" xr:uid="{1679A75F-76EE-4202-9A8F-EF7EF9C706B4}"/>
    <cellStyle name="Normal 18" xfId="78" xr:uid="{6B9D92F2-9BCD-478E-9566-A9EF1D954D08}"/>
    <cellStyle name="Normal 18 2" xfId="238" xr:uid="{E5FDB6C6-D527-43FC-ABBA-14BD26D7DB3F}"/>
    <cellStyle name="Normal 18 3" xfId="239" xr:uid="{8039DB3D-3DEE-4F22-81DB-3E704DC4D730}"/>
    <cellStyle name="Normal 18 4" xfId="240" xr:uid="{ABBA7978-C434-486B-A682-1290953F7F06}"/>
    <cellStyle name="Normal 18 5" xfId="241" xr:uid="{51906773-82F1-41F4-8ECE-F966DAAFCAA5}"/>
    <cellStyle name="Normal 19" xfId="79" xr:uid="{30AF64F1-9F37-4BBC-9354-680F3B53F4A5}"/>
    <cellStyle name="Normal 19 10" xfId="80" xr:uid="{54ED4C3A-ABD4-4D38-83C1-023D5F67BCF1}"/>
    <cellStyle name="Normal 19 11" xfId="81" xr:uid="{7A07035A-7918-484B-B418-3D720817355E}"/>
    <cellStyle name="Normal 19 12" xfId="82" xr:uid="{F33EF534-B097-4EEF-A59B-77884E6B8192}"/>
    <cellStyle name="Normal 19 13" xfId="83" xr:uid="{D8E75B5E-9490-4790-9A7A-430DE81F79AD}"/>
    <cellStyle name="Normal 19 13 2" xfId="242" xr:uid="{DD0977F6-C568-4759-B54A-11AA8FDE7C87}"/>
    <cellStyle name="Normal 19 13 3" xfId="339" xr:uid="{AB6C979A-CF86-4B2A-ACFF-E62AF5B99084}"/>
    <cellStyle name="Normal 19 13 4" xfId="340" xr:uid="{C8738CEB-8875-4B74-9A51-9AD4379F9DD6}"/>
    <cellStyle name="Normal 19 13 5" xfId="341" xr:uid="{C93DFEC2-BBDE-44F1-B8EB-AD9F6BFD338E}"/>
    <cellStyle name="Normal 19 13 6" xfId="342" xr:uid="{00F63CCC-C33F-4051-9B83-A8715FB0DF1F}"/>
    <cellStyle name="Normal 19 2" xfId="84" xr:uid="{ACFA702C-0D5F-4CDD-9B4B-1203E3146C6B}"/>
    <cellStyle name="Normal 19 3" xfId="85" xr:uid="{DF9832D9-B131-4321-AB04-78F5C9B40968}"/>
    <cellStyle name="Normal 19 4" xfId="86" xr:uid="{040C5245-3193-4A0E-9E8B-2550F29DC662}"/>
    <cellStyle name="Normal 19 5" xfId="87" xr:uid="{06994E66-2F24-445F-9CE0-C405673DA664}"/>
    <cellStyle name="Normal 19 6" xfId="88" xr:uid="{ADB7A807-4A52-4823-87B0-D9E1AB504656}"/>
    <cellStyle name="Normal 19 7" xfId="89" xr:uid="{0899F50F-B5BE-4D16-9601-7FF92145B5E5}"/>
    <cellStyle name="Normal 19 8" xfId="90" xr:uid="{742699C6-5AF6-4A7C-8983-11440694958F}"/>
    <cellStyle name="Normal 19 9" xfId="91" xr:uid="{E3AC0D27-986E-4BFF-AFA9-6FE2E31D92FC}"/>
    <cellStyle name="Normal 2" xfId="7" xr:uid="{087512B3-30A7-4839-9E75-9CA5542EB3E1}"/>
    <cellStyle name="Normal 2 10" xfId="243" xr:uid="{F0F08813-56C9-49D1-B2A1-1807FC9181A9}"/>
    <cellStyle name="Normal 2 10 2" xfId="244" xr:uid="{3EB59196-4840-4C1C-B72F-5BE9CEFE0B36}"/>
    <cellStyle name="Normal 2 11" xfId="245" xr:uid="{D0A813C1-FDCA-4AFB-BEB7-C0CC9F2D69A5}"/>
    <cellStyle name="Normal 2 11 2" xfId="246" xr:uid="{DAE919AB-FBCE-4A36-B9D7-6FA92E8967B4}"/>
    <cellStyle name="Normal 2 12" xfId="247" xr:uid="{1013CA8C-1154-4F4B-B645-DD6328FEDDCD}"/>
    <cellStyle name="Normal 2 12 2" xfId="248" xr:uid="{868AE0EB-393E-4041-AD48-AB717B3204F8}"/>
    <cellStyle name="Normal 2 13" xfId="249" xr:uid="{AAC9C9FA-0E23-4E83-83A9-27BAEC7387AB}"/>
    <cellStyle name="Normal 2 13 2" xfId="250" xr:uid="{3E36197D-85C0-473C-ADB6-75AFE4E53F28}"/>
    <cellStyle name="Normal 2 14" xfId="358" xr:uid="{A98289E1-BCB3-4770-9009-743CBB367AF9}"/>
    <cellStyle name="Normal 2 2" xfId="8" xr:uid="{268CE615-A1F6-4948-BEB4-12A3A6843086}"/>
    <cellStyle name="Normal 2 2 2" xfId="9" xr:uid="{A2EA85D0-EB6D-48E7-8263-FC64783901B9}"/>
    <cellStyle name="Normal 2 3" xfId="20" xr:uid="{F572DA70-0AA8-4268-BC0E-A40EAB95CCC1}"/>
    <cellStyle name="Normal 2 3 2" xfId="251" xr:uid="{D223F4A3-B559-4A17-BA5F-9696E3EFC6FB}"/>
    <cellStyle name="Normal 2 3 3" xfId="421" xr:uid="{D4AB9BD0-8710-4B73-AAED-905BEE8DA5C5}"/>
    <cellStyle name="Normal 2 3 4" xfId="51" xr:uid="{1322F75B-6BD7-4721-9449-269027AFFDBE}"/>
    <cellStyle name="Normal 2 4" xfId="252" xr:uid="{349AA1B6-A335-4BF8-889A-E2C8CAA5CC05}"/>
    <cellStyle name="Normal 2 4 2" xfId="253" xr:uid="{32C59F6E-A520-4406-B6A3-0995754C8A87}"/>
    <cellStyle name="Normal 2 5" xfId="254" xr:uid="{48D8E1AA-23B9-429E-8A49-F412326FF988}"/>
    <cellStyle name="Normal 2 5 2" xfId="255" xr:uid="{A3D695A4-08EE-4805-B7AA-E1BFFB74E739}"/>
    <cellStyle name="Normal 2 6" xfId="256" xr:uid="{7057FE65-37ED-4883-8E00-4A39849F0681}"/>
    <cellStyle name="Normal 2 6 2" xfId="257" xr:uid="{A03E1355-B733-45E3-AD21-D297B585B167}"/>
    <cellStyle name="Normal 2 7" xfId="258" xr:uid="{B9E37B9D-BB8F-423B-AB66-4508E6333C54}"/>
    <cellStyle name="Normal 2 7 2" xfId="259" xr:uid="{7A740D8E-AADB-41DD-95F6-E26A8EAA350A}"/>
    <cellStyle name="Normal 2 8" xfId="260" xr:uid="{13DB9130-1803-4F02-8899-8824AFD41AA9}"/>
    <cellStyle name="Normal 2 8 2" xfId="261" xr:uid="{3AEE8466-60C1-46F7-B972-FD60B19A67AE}"/>
    <cellStyle name="Normal 2 9" xfId="262" xr:uid="{C803B4E4-7E7E-46A4-B09B-61BF3302A8A8}"/>
    <cellStyle name="Normal 2 9 2" xfId="263" xr:uid="{90A95F2A-1C01-41CB-9741-77DDC047E85D}"/>
    <cellStyle name="Normal 2_MED ADR EAF" xfId="359" xr:uid="{DBEE9AEE-C3C5-4873-96EE-24AA88017FF4}"/>
    <cellStyle name="Normal 20" xfId="92" xr:uid="{EF142C5D-4D2F-4CDC-9AF1-A491E989822C}"/>
    <cellStyle name="Normal 20 2" xfId="264" xr:uid="{3F836BA0-4C1E-4679-8BAC-F6198A024C61}"/>
    <cellStyle name="Normal 21" xfId="93" xr:uid="{D7225F8C-7719-45C6-A522-A77E8C226B70}"/>
    <cellStyle name="Normal 21 2" xfId="265" xr:uid="{F4D2FD63-72B9-4D6E-AE59-5F7A12A22D22}"/>
    <cellStyle name="Normal 22" xfId="94" xr:uid="{EFFFA2CB-CE1D-4ABA-A89A-B29AF9A35C51}"/>
    <cellStyle name="Normal 22 2" xfId="266" xr:uid="{81AFB5AE-E938-4AA2-85B1-7A02E9F9C7B8}"/>
    <cellStyle name="Normal 23" xfId="95" xr:uid="{761770DD-107C-421B-8A04-8BD53BD2720D}"/>
    <cellStyle name="Normal 24" xfId="96" xr:uid="{49DB4153-4D4A-41D7-83A3-16EDA857AEE1}"/>
    <cellStyle name="Normal 25" xfId="97" xr:uid="{1B178E56-693A-4442-8894-0AAE40807A63}"/>
    <cellStyle name="Normal 26" xfId="98" xr:uid="{F21BAF95-51A5-4FE3-A72C-167C5C260D59}"/>
    <cellStyle name="Normal 27" xfId="99" xr:uid="{0EF4E069-68E6-450C-AFDC-7817C71E143A}"/>
    <cellStyle name="Normal 28" xfId="100" xr:uid="{D43D24E9-F613-4B83-A28D-66289DB8A676}"/>
    <cellStyle name="Normal 29" xfId="101" xr:uid="{C54B63F8-07A9-4AF5-8A8E-CD5C2B5B5E70}"/>
    <cellStyle name="Normal 3" xfId="29" xr:uid="{3281535F-DE91-4CAF-BAB0-41C5A7B97720}"/>
    <cellStyle name="Normal 3 2" xfId="15" xr:uid="{74835B9B-C2E2-4D3A-A5A8-42397F401524}"/>
    <cellStyle name="Normal 3 2 2" xfId="267" xr:uid="{68463FDB-1DD0-4D6C-BBEC-76B46AA93D1C}"/>
    <cellStyle name="Normal 3 3" xfId="268" xr:uid="{7E8A1777-E272-4410-BDDC-05B59490E9C3}"/>
    <cellStyle name="Normal 30" xfId="102" xr:uid="{424069F3-2BC4-4A9A-924C-C0D0D9EB4024}"/>
    <cellStyle name="Normal 31" xfId="103" xr:uid="{10E4E196-461F-46F1-BCC8-847DD4717200}"/>
    <cellStyle name="Normal 32" xfId="104" xr:uid="{78E7D7DE-EBB8-4781-A506-317F28A36F2F}"/>
    <cellStyle name="Normal 33" xfId="105" xr:uid="{BE7087A8-D070-4368-9F6C-03355DCF5240}"/>
    <cellStyle name="Normal 33 2" xfId="269" xr:uid="{689314B2-B943-4079-9DE9-55F33277865E}"/>
    <cellStyle name="Normal 33 3" xfId="343" xr:uid="{A7DC18DA-CAB1-4BE8-9AFB-6800A3270DB1}"/>
    <cellStyle name="Normal 33 4" xfId="344" xr:uid="{8E931424-8302-4F61-8C25-C3A7F501A15C}"/>
    <cellStyle name="Normal 33 5" xfId="345" xr:uid="{D7137B5C-3691-4337-9EE8-4299337100A0}"/>
    <cellStyle name="Normal 33 6" xfId="346" xr:uid="{6488E6A5-AA82-42AB-A76A-DBBA33F8F1C5}"/>
    <cellStyle name="Normal 34" xfId="106" xr:uid="{47FFC3CA-9FFB-4743-90D0-516BD25F774F}"/>
    <cellStyle name="Normal 35" xfId="270" xr:uid="{B38407FE-6A16-4892-8903-5654FAFD0F35}"/>
    <cellStyle name="Normal 36" xfId="271" xr:uid="{EC0DEC9B-4A08-4996-9081-D6FC92C0B585}"/>
    <cellStyle name="Normal 37" xfId="272" xr:uid="{CDFE64B4-B29F-40CC-8C4D-B48DA76D87A8}"/>
    <cellStyle name="Normal 38" xfId="273" xr:uid="{9EF169F2-D63E-4CB7-87DC-899A5B29331B}"/>
    <cellStyle name="Normal 39" xfId="274" xr:uid="{EE0413D4-3B65-4245-83D9-4723B614DABD}"/>
    <cellStyle name="Normal 4" xfId="52" xr:uid="{DD430061-892F-4B03-AE1A-D1C6C6E16BFE}"/>
    <cellStyle name="Normal 4 2" xfId="72" xr:uid="{049AF836-1044-48AC-9F58-F5DF53A37458}"/>
    <cellStyle name="Normal 4 3" xfId="275" xr:uid="{3ABCD542-AFA7-4770-AB06-2D718C6DCF6F}"/>
    <cellStyle name="Normal 4 4" xfId="276" xr:uid="{4D8292B4-A86B-42BD-BE39-E7C68764499C}"/>
    <cellStyle name="Normal 4 5" xfId="277" xr:uid="{5EB4D20A-1036-4683-8711-6A62F057DB53}"/>
    <cellStyle name="Normal 40" xfId="278" xr:uid="{91896969-DC13-4FD7-BCFD-9C475568BB38}"/>
    <cellStyle name="Normal 41" xfId="279" xr:uid="{CD930C6F-5313-49FB-AB30-DF68F6B74399}"/>
    <cellStyle name="Normal 42" xfId="280" xr:uid="{68CBB028-F8FB-4B03-9669-F6B5696B8DA8}"/>
    <cellStyle name="Normal 43" xfId="281" xr:uid="{9502BB0D-8BED-4119-AF52-4A323905D809}"/>
    <cellStyle name="Normal 44" xfId="282" xr:uid="{F8EDE15B-CC6D-40E1-9820-4751FA59D6BF}"/>
    <cellStyle name="Normal 45" xfId="283" xr:uid="{580A4D3A-2414-4630-81C8-062A4232C721}"/>
    <cellStyle name="Normal 46" xfId="284" xr:uid="{68FC70ED-8F1D-4CA0-BA0E-319071392A63}"/>
    <cellStyle name="Normal 47" xfId="285" xr:uid="{17D8C8BD-F301-4B21-B97F-B791794685C6}"/>
    <cellStyle name="Normal 48" xfId="286" xr:uid="{801157F4-B923-43C5-8A53-BFEA6229228A}"/>
    <cellStyle name="Normal 49" xfId="287" xr:uid="{92F499F1-2F9C-4D43-AB4F-A9F6FB9F9071}"/>
    <cellStyle name="Normal 5" xfId="53" xr:uid="{25576B36-DB16-4D08-892C-C23D26EF6520}"/>
    <cellStyle name="Normal 5 2" xfId="73" xr:uid="{9367F3CC-7FE9-4390-9437-0ED92ADA072B}"/>
    <cellStyle name="Normal 5 3" xfId="288" xr:uid="{4F3E75B6-5866-4B08-B066-F8E796897BEB}"/>
    <cellStyle name="Normal 5 4" xfId="289" xr:uid="{500F260A-CB7A-4CBD-AADD-CF6E6B0495ED}"/>
    <cellStyle name="Normal 5 5" xfId="290" xr:uid="{6E4E03D9-C6FD-4D71-B9A3-90C5CB8D4EA5}"/>
    <cellStyle name="Normal 50" xfId="291" xr:uid="{944B1287-58CF-4C09-BEBC-68D0A6151756}"/>
    <cellStyle name="Normal 51" xfId="292" xr:uid="{B6396C22-6889-47C5-B6C2-4E6F53FCE8AC}"/>
    <cellStyle name="Normal 52" xfId="293" xr:uid="{2C30F2EE-AD1E-4C4D-B5ED-2197663A16B7}"/>
    <cellStyle name="Normal 53" xfId="294" xr:uid="{8A84BC76-83E2-4441-8E51-AD90B7B9BC67}"/>
    <cellStyle name="Normal 54" xfId="295" xr:uid="{1C6B2223-35C3-4619-B2D0-9ED8BD80D067}"/>
    <cellStyle name="Normal 55" xfId="296" xr:uid="{2DBA809E-9DBC-4F9C-B184-AF4E02B69E2C}"/>
    <cellStyle name="Normal 56" xfId="297" xr:uid="{E3F168A0-912E-4F52-A7B8-D706FA6B5D73}"/>
    <cellStyle name="Normal 57" xfId="298" xr:uid="{5D586761-85FB-4DFF-B477-91240D506CFC}"/>
    <cellStyle name="Normal 58" xfId="299" xr:uid="{B59661AE-D234-4F55-ADFC-DF21915FF32B}"/>
    <cellStyle name="Normal 59" xfId="300" xr:uid="{06B89CBE-E8BF-44E1-A2BC-214E280B95DB}"/>
    <cellStyle name="Normal 6" xfId="54" xr:uid="{CE8CBC16-2468-4486-BFA2-D214722E48B1}"/>
    <cellStyle name="Normal 6 2" xfId="74" xr:uid="{F0366800-7A4E-42E6-AEB4-986E05C82D48}"/>
    <cellStyle name="Normal 60" xfId="301" xr:uid="{CF3EC065-16A9-4683-AC92-D664464DD3D7}"/>
    <cellStyle name="Normal 61" xfId="302" xr:uid="{2FFC4C19-D8F3-4698-BCBC-FDC212B4DE89}"/>
    <cellStyle name="Normal 62" xfId="24" xr:uid="{DF2D514F-BAD0-4924-91D4-EFF650EE872C}"/>
    <cellStyle name="Normal 63" xfId="303" xr:uid="{41FB6D57-9C4F-4009-B5C1-E663EF3F08D6}"/>
    <cellStyle name="Normal 64" xfId="347" xr:uid="{EA69F957-3016-4270-816A-ADBF645D28E6}"/>
    <cellStyle name="Normal 65" xfId="348" xr:uid="{F890CE21-499D-4F97-B987-25CDB2735DA4}"/>
    <cellStyle name="Normal 66" xfId="349" xr:uid="{6B8DAC39-FE0D-48D9-985E-D5A9E8939090}"/>
    <cellStyle name="Normal 67" xfId="363" xr:uid="{B2C4C377-0264-46DA-BF07-A34029BFCBC7}"/>
    <cellStyle name="Normal 68" xfId="361" xr:uid="{A3108010-0A2E-4849-AC43-06273D683514}"/>
    <cellStyle name="Normal 69" xfId="357" xr:uid="{0FB7D8B2-EAD4-4F81-B274-3652E88132DD}"/>
    <cellStyle name="Normal 7" xfId="55" xr:uid="{CA54836D-6DE5-41C7-9AA5-7DC9D639BB8D}"/>
    <cellStyle name="Normal 7 2" xfId="75" xr:uid="{E7D6348F-9011-4855-B005-ED63A755F8DD}"/>
    <cellStyle name="Normal 7 3" xfId="304" xr:uid="{75DB4609-74F7-4937-811A-9EB2460E3B7E}"/>
    <cellStyle name="Normal 7 4" xfId="305" xr:uid="{016DCE67-C03B-47BE-B6E9-39DF794E4320}"/>
    <cellStyle name="Normal 7 5" xfId="306" xr:uid="{3CDD7658-D6AA-4293-9393-A091ED63EE81}"/>
    <cellStyle name="Normal 70" xfId="26" xr:uid="{DAA37408-1521-4AEC-AB56-D1274427B2AF}"/>
    <cellStyle name="Normal 71" xfId="1" xr:uid="{808155F1-1977-4D3E-9034-4DD39B78B7E3}"/>
    <cellStyle name="Normal 72" xfId="422" xr:uid="{712353B6-ADBF-4462-ACAA-E82CF711F0B5}"/>
    <cellStyle name="Normal 73" xfId="424" xr:uid="{6A5E3014-0DE2-4D9F-8030-368A442F81D8}"/>
    <cellStyle name="Normal 74" xfId="431" xr:uid="{D95605EC-6D32-423C-A394-3CE16AA02F16}"/>
    <cellStyle name="Normal 75" xfId="428" xr:uid="{F1D2D3D6-FF9D-4E19-A538-BF606A18291F}"/>
    <cellStyle name="Normal 76" xfId="432" xr:uid="{A2EB1DCE-5729-469B-89B8-1743C3A51F4A}"/>
    <cellStyle name="Normal 77" xfId="433" xr:uid="{F834BDC4-6097-4F68-9D2E-FD0B6EFDFA69}"/>
    <cellStyle name="Normal 78" xfId="434" xr:uid="{9AB7052D-2BFA-4473-A74C-286B4B4DA95E}"/>
    <cellStyle name="Normal 79" xfId="430" xr:uid="{D4EC1C4D-91DC-40A3-AF6D-A861C5BDEF08}"/>
    <cellStyle name="Normal 8" xfId="56" xr:uid="{F18C4FFE-E662-4171-9803-CCA1A4EBB606}"/>
    <cellStyle name="Normal 8 2" xfId="76" xr:uid="{8159BFC8-183C-419A-B5C2-D2656CF3A900}"/>
    <cellStyle name="Normal 8 3" xfId="307" xr:uid="{3BF53775-3E89-4C4C-82B1-59F3CC186027}"/>
    <cellStyle name="Normal 8 4" xfId="308" xr:uid="{FF108DA3-A913-4776-83F5-3F9AD89749BE}"/>
    <cellStyle name="Normal 8 5" xfId="309" xr:uid="{0614D7DC-8865-4189-BFD8-74EF21153374}"/>
    <cellStyle name="Normal 80" xfId="425" xr:uid="{49A14A4D-88D2-4A91-8209-B5C85A74C6BA}"/>
    <cellStyle name="Normal 81" xfId="423" xr:uid="{650CF0BF-10F1-41C6-906E-12CE81CEB0B5}"/>
    <cellStyle name="Normal 82" xfId="429" xr:uid="{9DC05428-2D93-47D1-A817-A89796C8566C}"/>
    <cellStyle name="Normal 83" xfId="426" xr:uid="{A13BDE5B-C8BF-4485-9CDA-7836802ADEE6}"/>
    <cellStyle name="Normal 84" xfId="427" xr:uid="{A20F3166-75B4-4A68-8E16-4D5D0C511675}"/>
    <cellStyle name="Normal 9" xfId="57" xr:uid="{644CAADA-267A-4F4F-959F-87B6219A4B96}"/>
    <cellStyle name="Normal 9 2" xfId="77" xr:uid="{8517E5F5-4216-490D-9CA3-395A20867216}"/>
    <cellStyle name="Normal 9 3" xfId="310" xr:uid="{32841E6E-E46B-4892-A271-55A82522CFA7}"/>
    <cellStyle name="Normal 9 4" xfId="311" xr:uid="{E58E55F6-89D1-4ACF-A005-39FA76F91197}"/>
    <cellStyle name="Normal 9 5" xfId="312" xr:uid="{16EB1CE8-020D-4F6A-8BC0-9CD42EFE0A68}"/>
    <cellStyle name="Percent [2]" xfId="10" xr:uid="{CF19BC90-2EBE-40B5-A9E7-ACEFD81617CD}"/>
    <cellStyle name="Percent [2] 2" xfId="11" xr:uid="{9C1ED635-FE16-4944-B9E6-C96CD8BB4DA1}"/>
    <cellStyle name="Percent [2] 2 2" xfId="12" xr:uid="{897DDAC8-9ABB-4BEE-B8FC-C417060E3AE1}"/>
    <cellStyle name="Percent 2" xfId="313" xr:uid="{56189185-858B-4A5E-B220-F88D270B7551}"/>
    <cellStyle name="Separador de milhares [0]_pldt" xfId="13" xr:uid="{2312D534-B6B9-4AB4-96E5-702140F09E3F}"/>
    <cellStyle name="Separador de milhares_pldt" xfId="14" xr:uid="{791F827F-6631-45EF-8BEF-AE04140D6B27}"/>
    <cellStyle name="Total 10" xfId="314" xr:uid="{E8F4CD03-44AC-44BF-AB32-DEF2C5DC699C}"/>
    <cellStyle name="Total 10 2" xfId="315" xr:uid="{35370523-2D7B-43EE-BF15-9463315DD9F6}"/>
    <cellStyle name="Total 11" xfId="316" xr:uid="{D34783F6-F47A-4893-AFFE-38BE1293137F}"/>
    <cellStyle name="Total 11 2" xfId="317" xr:uid="{892AC357-DC91-4F7E-B769-EBAFB6EEA7E5}"/>
    <cellStyle name="Total 12" xfId="318" xr:uid="{A253AF43-4777-492F-A89F-AEE300CC0E07}"/>
    <cellStyle name="Total 12 2" xfId="319" xr:uid="{5FB246E7-1309-4CCE-99A6-8E63844FA33D}"/>
    <cellStyle name="Total 13" xfId="320" xr:uid="{5F1745E2-3A6B-4455-94A0-04EA975700D4}"/>
    <cellStyle name="Total 13 2" xfId="321" xr:uid="{25165A4A-60EC-4BD9-9D89-C524C8B25C9D}"/>
    <cellStyle name="Total 14" xfId="322" xr:uid="{738F1421-588C-4146-8592-662715023A20}"/>
    <cellStyle name="Total 2" xfId="323" xr:uid="{AD3A895A-1FF2-4706-B632-D2584A7380C0}"/>
    <cellStyle name="Total 2 2" xfId="324" xr:uid="{727E064C-90E6-40EE-83E4-63050710565C}"/>
    <cellStyle name="Total 3" xfId="325" xr:uid="{4BF84E32-1135-4A34-A2CD-BE53FB616876}"/>
    <cellStyle name="Total 3 2" xfId="326" xr:uid="{D8281E0C-F3E8-46A0-969D-A9992ECE0500}"/>
    <cellStyle name="Total 4" xfId="327" xr:uid="{0BA55FB9-9A86-4F0C-AE89-D4D70B34A86D}"/>
    <cellStyle name="Total 4 2" xfId="328" xr:uid="{BCFA8E39-04A7-426C-9BE1-3F5460BACC27}"/>
    <cellStyle name="Total 5" xfId="329" xr:uid="{3B95805A-112B-4855-841F-122529D9FB81}"/>
    <cellStyle name="Total 5 2" xfId="330" xr:uid="{6B607E56-9103-4ED9-B7F0-37C90FD9D6E8}"/>
    <cellStyle name="Total 6" xfId="331" xr:uid="{A8C41470-BFFA-4635-89FF-CBA2E70BDE96}"/>
    <cellStyle name="Total 6 2" xfId="332" xr:uid="{306E4338-6810-4DE5-B2B6-F1DAC216B520}"/>
    <cellStyle name="Total 7" xfId="333" xr:uid="{2C0BE20A-7506-46E5-9EAB-0AC4E8466F5E}"/>
    <cellStyle name="Total 7 2" xfId="334" xr:uid="{A817A3A2-51CB-4DD4-9014-D7599294FAAC}"/>
    <cellStyle name="Total 8" xfId="335" xr:uid="{55BED688-78D0-488E-B43A-F566F434FAB7}"/>
    <cellStyle name="Total 8 2" xfId="336" xr:uid="{9A36E3BB-5A41-44DF-8E06-6BFC00598B6A}"/>
    <cellStyle name="Total 9" xfId="337" xr:uid="{15981949-48B8-40A0-8777-7669E0408162}"/>
    <cellStyle name="Total 9 2" xfId="338" xr:uid="{DE551EB7-BDD8-47C9-8FC4-38136FA5F9D7}"/>
    <cellStyle name="똿뗦먛귟 [0.00]_PRODUCT DETAIL Q1" xfId="58" xr:uid="{A163D89F-6FC2-49FA-9B80-27650CC8716C}"/>
    <cellStyle name="똿뗦먛귟_PRODUCT DETAIL Q1" xfId="59" xr:uid="{7330B089-774F-4EA5-ABC5-47926B9F9880}"/>
    <cellStyle name="믅됞 [0.00]_PRODUCT DETAIL Q1" xfId="60" xr:uid="{330CC7FF-E7BA-45FD-B3A8-17848845199B}"/>
    <cellStyle name="믅됞_PRODUCT DETAIL Q1" xfId="61" xr:uid="{E1D11E40-1742-432B-8D35-577BA5B388FC}"/>
    <cellStyle name="백분율_HOBONG" xfId="62" xr:uid="{50F35D04-9710-41C1-BB18-71DECCCD7187}"/>
    <cellStyle name="뷭?_BOOKSHIP" xfId="63" xr:uid="{56E88EC3-EC38-42B7-B2AD-6F4F1A76B79D}"/>
    <cellStyle name="콤마 [0]_1202" xfId="64" xr:uid="{ACCFCD65-F8F3-412E-8409-01E124E20A4B}"/>
    <cellStyle name="콤마_1202" xfId="65" xr:uid="{B3504903-AD08-4B20-803F-FE7ABE60F506}"/>
    <cellStyle name="통화 [0]_1202" xfId="66" xr:uid="{A148C183-6607-4427-B6FC-EE59AF5D37C5}"/>
    <cellStyle name="통화_1202" xfId="67" xr:uid="{A0943B90-C86D-4958-9B5C-A65200801D88}"/>
    <cellStyle name="표준_(정보부문)월별인원계획" xfId="68" xr:uid="{69E51A01-F3FE-4E4D-89C7-EABA1EA3D14C}"/>
  </cellStyles>
  <dxfs count="0"/>
  <tableStyles count="0" defaultTableStyle="TableStyleMedium2" defaultPivotStyle="PivotStyleLight16"/>
  <colors>
    <mruColors>
      <color rgb="FFFFFF99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00388-E9A4-4547-81D3-131CBFB068E3}">
  <sheetPr>
    <pageSetUpPr fitToPage="1"/>
  </sheetPr>
  <dimension ref="A1:X43"/>
  <sheetViews>
    <sheetView tabSelected="1" workbookViewId="0">
      <selection activeCell="A2" sqref="A2:A3"/>
    </sheetView>
  </sheetViews>
  <sheetFormatPr defaultRowHeight="15"/>
  <cols>
    <col min="1" max="1" width="42.140625" customWidth="1"/>
    <col min="12" max="12" width="12.7109375" customWidth="1"/>
    <col min="13" max="13" width="20.7109375" customWidth="1"/>
  </cols>
  <sheetData>
    <row r="1" spans="1:13" ht="15.75" thickBot="1">
      <c r="A1" s="25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9"/>
    </row>
    <row r="2" spans="1:13" ht="16.5" customHeight="1" thickBot="1">
      <c r="A2" s="80" t="s">
        <v>1</v>
      </c>
      <c r="B2" s="82" t="s">
        <v>2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4"/>
    </row>
    <row r="3" spans="1:13" ht="43.5" customHeight="1" thickBot="1">
      <c r="A3" s="81"/>
      <c r="B3" s="85" t="s">
        <v>3</v>
      </c>
      <c r="C3" s="86"/>
      <c r="D3" s="87" t="s">
        <v>4</v>
      </c>
      <c r="E3" s="88"/>
      <c r="F3" s="88" t="s">
        <v>5</v>
      </c>
      <c r="G3" s="88"/>
      <c r="H3" s="88" t="s">
        <v>6</v>
      </c>
      <c r="I3" s="88"/>
      <c r="J3" s="87" t="s">
        <v>7</v>
      </c>
      <c r="K3" s="88"/>
      <c r="L3" s="88" t="s">
        <v>8</v>
      </c>
      <c r="M3" s="89"/>
    </row>
    <row r="4" spans="1:13" ht="15.75" thickBot="1">
      <c r="A4" s="64" t="s">
        <v>9</v>
      </c>
      <c r="B4" s="69" t="s">
        <v>10</v>
      </c>
      <c r="C4" s="70" t="s">
        <v>11</v>
      </c>
      <c r="D4" s="70" t="s">
        <v>10</v>
      </c>
      <c r="E4" s="70" t="s">
        <v>11</v>
      </c>
      <c r="F4" s="70" t="s">
        <v>10</v>
      </c>
      <c r="G4" s="70" t="s">
        <v>11</v>
      </c>
      <c r="H4" s="70" t="s">
        <v>10</v>
      </c>
      <c r="I4" s="70" t="s">
        <v>11</v>
      </c>
      <c r="J4" s="70" t="s">
        <v>10</v>
      </c>
      <c r="K4" s="70" t="s">
        <v>11</v>
      </c>
      <c r="L4" s="70" t="s">
        <v>10</v>
      </c>
      <c r="M4" s="71" t="s">
        <v>11</v>
      </c>
    </row>
    <row r="5" spans="1:13">
      <c r="A5" s="65" t="s">
        <v>12</v>
      </c>
      <c r="B5" s="56">
        <v>1275</v>
      </c>
      <c r="C5" s="57">
        <v>1500</v>
      </c>
      <c r="D5" s="57">
        <v>1375</v>
      </c>
      <c r="E5" s="57">
        <v>1550</v>
      </c>
      <c r="F5" s="57">
        <v>1825</v>
      </c>
      <c r="G5" s="57">
        <v>2350</v>
      </c>
      <c r="H5" s="57">
        <v>3175</v>
      </c>
      <c r="I5" s="57">
        <v>4000</v>
      </c>
      <c r="J5" s="57">
        <v>2275</v>
      </c>
      <c r="K5" s="57">
        <v>3050</v>
      </c>
      <c r="L5" s="57">
        <v>1875</v>
      </c>
      <c r="M5" s="58">
        <v>2750</v>
      </c>
    </row>
    <row r="6" spans="1:13">
      <c r="A6" s="66" t="s">
        <v>13</v>
      </c>
      <c r="B6" s="59">
        <v>1275</v>
      </c>
      <c r="C6" s="55">
        <v>1500</v>
      </c>
      <c r="D6" s="55">
        <v>1375</v>
      </c>
      <c r="E6" s="55">
        <v>1550</v>
      </c>
      <c r="F6" s="55">
        <v>1825</v>
      </c>
      <c r="G6" s="55">
        <v>2350</v>
      </c>
      <c r="H6" s="55">
        <v>3175</v>
      </c>
      <c r="I6" s="55">
        <v>4000</v>
      </c>
      <c r="J6" s="55">
        <v>2275</v>
      </c>
      <c r="K6" s="55">
        <v>3050</v>
      </c>
      <c r="L6" s="55">
        <v>1875</v>
      </c>
      <c r="M6" s="60">
        <v>2750</v>
      </c>
    </row>
    <row r="7" spans="1:13">
      <c r="A7" s="66" t="s">
        <v>14</v>
      </c>
      <c r="B7" s="59">
        <v>1350</v>
      </c>
      <c r="C7" s="55">
        <v>1600</v>
      </c>
      <c r="D7" s="55">
        <v>1450</v>
      </c>
      <c r="E7" s="55">
        <v>1650</v>
      </c>
      <c r="F7" s="55">
        <v>2025</v>
      </c>
      <c r="G7" s="55">
        <v>2775</v>
      </c>
      <c r="H7" s="55">
        <v>3250</v>
      </c>
      <c r="I7" s="55">
        <v>4100</v>
      </c>
      <c r="J7" s="55">
        <v>2350</v>
      </c>
      <c r="K7" s="55">
        <v>3150</v>
      </c>
      <c r="L7" s="55">
        <v>1950</v>
      </c>
      <c r="M7" s="60">
        <v>2850</v>
      </c>
    </row>
    <row r="8" spans="1:13">
      <c r="A8" s="67" t="s">
        <v>15</v>
      </c>
      <c r="B8" s="59">
        <v>1275</v>
      </c>
      <c r="C8" s="55">
        <v>1500</v>
      </c>
      <c r="D8" s="55">
        <v>1375</v>
      </c>
      <c r="E8" s="55">
        <v>1550</v>
      </c>
      <c r="F8" s="55">
        <v>1825</v>
      </c>
      <c r="G8" s="55">
        <v>2350</v>
      </c>
      <c r="H8" s="55">
        <v>3175</v>
      </c>
      <c r="I8" s="55">
        <v>4000</v>
      </c>
      <c r="J8" s="55">
        <v>2275</v>
      </c>
      <c r="K8" s="55">
        <v>3050</v>
      </c>
      <c r="L8" s="55">
        <v>1875</v>
      </c>
      <c r="M8" s="60">
        <v>2750</v>
      </c>
    </row>
    <row r="9" spans="1:13">
      <c r="A9" s="67" t="s">
        <v>16</v>
      </c>
      <c r="B9" s="59">
        <v>1275</v>
      </c>
      <c r="C9" s="55">
        <v>1500</v>
      </c>
      <c r="D9" s="55">
        <v>1375</v>
      </c>
      <c r="E9" s="55">
        <v>1550</v>
      </c>
      <c r="F9" s="55">
        <v>1825</v>
      </c>
      <c r="G9" s="55">
        <v>2350</v>
      </c>
      <c r="H9" s="55">
        <v>3175</v>
      </c>
      <c r="I9" s="55">
        <v>4000</v>
      </c>
      <c r="J9" s="55">
        <v>2275</v>
      </c>
      <c r="K9" s="55">
        <v>3050</v>
      </c>
      <c r="L9" s="55">
        <v>1875</v>
      </c>
      <c r="M9" s="60">
        <v>2750</v>
      </c>
    </row>
    <row r="10" spans="1:13">
      <c r="A10" s="66" t="s">
        <v>17</v>
      </c>
      <c r="B10" s="59">
        <v>1225</v>
      </c>
      <c r="C10" s="55">
        <v>1450</v>
      </c>
      <c r="D10" s="55">
        <v>1325</v>
      </c>
      <c r="E10" s="55">
        <v>1500</v>
      </c>
      <c r="F10" s="55">
        <v>1775</v>
      </c>
      <c r="G10" s="55">
        <v>2300</v>
      </c>
      <c r="H10" s="55">
        <v>3125</v>
      </c>
      <c r="I10" s="55">
        <v>3950</v>
      </c>
      <c r="J10" s="55">
        <v>2225</v>
      </c>
      <c r="K10" s="55">
        <v>3000</v>
      </c>
      <c r="L10" s="55">
        <v>1825</v>
      </c>
      <c r="M10" s="60">
        <v>2700</v>
      </c>
    </row>
    <row r="11" spans="1:13">
      <c r="A11" s="66" t="s">
        <v>18</v>
      </c>
      <c r="B11" s="59">
        <v>1350</v>
      </c>
      <c r="C11" s="55">
        <v>1600</v>
      </c>
      <c r="D11" s="55">
        <v>1450</v>
      </c>
      <c r="E11" s="55">
        <v>1650</v>
      </c>
      <c r="F11" s="55">
        <v>2025</v>
      </c>
      <c r="G11" s="55">
        <v>2775</v>
      </c>
      <c r="H11" s="55">
        <v>3250</v>
      </c>
      <c r="I11" s="55">
        <v>4100</v>
      </c>
      <c r="J11" s="55">
        <v>2350</v>
      </c>
      <c r="K11" s="55">
        <v>3150</v>
      </c>
      <c r="L11" s="55">
        <v>1950</v>
      </c>
      <c r="M11" s="60">
        <v>2850</v>
      </c>
    </row>
    <row r="12" spans="1:13">
      <c r="A12" s="66" t="s">
        <v>19</v>
      </c>
      <c r="B12" s="59">
        <v>1350</v>
      </c>
      <c r="C12" s="55">
        <v>1600</v>
      </c>
      <c r="D12" s="55">
        <v>1450</v>
      </c>
      <c r="E12" s="55">
        <v>1650</v>
      </c>
      <c r="F12" s="55">
        <v>2025</v>
      </c>
      <c r="G12" s="55">
        <v>2775</v>
      </c>
      <c r="H12" s="55">
        <v>3250</v>
      </c>
      <c r="I12" s="55">
        <v>4100</v>
      </c>
      <c r="J12" s="55">
        <v>2350</v>
      </c>
      <c r="K12" s="55">
        <v>3150</v>
      </c>
      <c r="L12" s="55">
        <v>1950</v>
      </c>
      <c r="M12" s="60">
        <v>2850</v>
      </c>
    </row>
    <row r="13" spans="1:13">
      <c r="A13" s="66" t="s">
        <v>20</v>
      </c>
      <c r="B13" s="59">
        <v>1350</v>
      </c>
      <c r="C13" s="55">
        <v>1600</v>
      </c>
      <c r="D13" s="55">
        <v>1450</v>
      </c>
      <c r="E13" s="55">
        <v>1650</v>
      </c>
      <c r="F13" s="55">
        <v>2025</v>
      </c>
      <c r="G13" s="55">
        <v>2675</v>
      </c>
      <c r="H13" s="55">
        <v>3250</v>
      </c>
      <c r="I13" s="55">
        <v>4100</v>
      </c>
      <c r="J13" s="55">
        <v>2350</v>
      </c>
      <c r="K13" s="55">
        <v>3150</v>
      </c>
      <c r="L13" s="55">
        <v>1950</v>
      </c>
      <c r="M13" s="60">
        <v>2850</v>
      </c>
    </row>
    <row r="14" spans="1:13">
      <c r="A14" s="66" t="s">
        <v>21</v>
      </c>
      <c r="B14" s="59">
        <v>1350</v>
      </c>
      <c r="C14" s="55">
        <v>1600</v>
      </c>
      <c r="D14" s="55">
        <v>1450</v>
      </c>
      <c r="E14" s="55">
        <v>1650</v>
      </c>
      <c r="F14" s="55">
        <v>2025</v>
      </c>
      <c r="G14" s="55">
        <v>2650</v>
      </c>
      <c r="H14" s="55">
        <v>3250</v>
      </c>
      <c r="I14" s="55">
        <v>4100</v>
      </c>
      <c r="J14" s="55">
        <v>2350</v>
      </c>
      <c r="K14" s="55">
        <v>3150</v>
      </c>
      <c r="L14" s="55">
        <v>1950</v>
      </c>
      <c r="M14" s="60">
        <v>2850</v>
      </c>
    </row>
    <row r="15" spans="1:13">
      <c r="A15" s="66" t="s">
        <v>22</v>
      </c>
      <c r="B15" s="59">
        <v>1350</v>
      </c>
      <c r="C15" s="55">
        <v>1600</v>
      </c>
      <c r="D15" s="55">
        <v>1450</v>
      </c>
      <c r="E15" s="55">
        <v>1650</v>
      </c>
      <c r="F15" s="55">
        <v>2025</v>
      </c>
      <c r="G15" s="55">
        <v>2650</v>
      </c>
      <c r="H15" s="55">
        <v>3250</v>
      </c>
      <c r="I15" s="55">
        <v>4100</v>
      </c>
      <c r="J15" s="55">
        <v>2350</v>
      </c>
      <c r="K15" s="55">
        <v>3150</v>
      </c>
      <c r="L15" s="55">
        <v>1950</v>
      </c>
      <c r="M15" s="60">
        <v>2850</v>
      </c>
    </row>
    <row r="16" spans="1:13">
      <c r="A16" s="66" t="s">
        <v>23</v>
      </c>
      <c r="B16" s="59">
        <v>1350</v>
      </c>
      <c r="C16" s="55">
        <v>1600</v>
      </c>
      <c r="D16" s="55">
        <v>1450</v>
      </c>
      <c r="E16" s="55">
        <v>1650</v>
      </c>
      <c r="F16" s="55">
        <v>2025</v>
      </c>
      <c r="G16" s="55">
        <v>2650</v>
      </c>
      <c r="H16" s="55">
        <v>3250</v>
      </c>
      <c r="I16" s="55">
        <v>4100</v>
      </c>
      <c r="J16" s="55">
        <v>2350</v>
      </c>
      <c r="K16" s="55">
        <v>3150</v>
      </c>
      <c r="L16" s="55">
        <v>1950</v>
      </c>
      <c r="M16" s="60">
        <v>2850</v>
      </c>
    </row>
    <row r="17" spans="1:18" ht="15.75" thickBot="1">
      <c r="A17" s="68" t="s">
        <v>24</v>
      </c>
      <c r="B17" s="61">
        <v>1275</v>
      </c>
      <c r="C17" s="62">
        <v>1500</v>
      </c>
      <c r="D17" s="62">
        <v>1400</v>
      </c>
      <c r="E17" s="62">
        <v>1550</v>
      </c>
      <c r="F17" s="62">
        <v>1825</v>
      </c>
      <c r="G17" s="62">
        <v>2500</v>
      </c>
      <c r="H17" s="62">
        <v>3175</v>
      </c>
      <c r="I17" s="62">
        <v>4000</v>
      </c>
      <c r="J17" s="62">
        <v>2275</v>
      </c>
      <c r="K17" s="62">
        <v>3050</v>
      </c>
      <c r="L17" s="62">
        <v>1875</v>
      </c>
      <c r="M17" s="63">
        <v>2750</v>
      </c>
    </row>
    <row r="18" spans="1:18" s="19" customFormat="1" ht="13.5" thickBot="1">
      <c r="A18" s="72" t="s">
        <v>25</v>
      </c>
      <c r="B18" s="73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4"/>
    </row>
    <row r="19" spans="1:18" s="7" customFormat="1">
      <c r="A19" s="30" t="s">
        <v>26</v>
      </c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2"/>
      <c r="N19" s="33"/>
      <c r="O19" s="33"/>
      <c r="P19" s="33"/>
      <c r="Q19" s="33"/>
    </row>
    <row r="20" spans="1:18" s="7" customFormat="1" ht="15.75" thickBot="1">
      <c r="A20" s="34" t="s">
        <v>27</v>
      </c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6"/>
      <c r="N20" s="33"/>
      <c r="O20" s="33"/>
      <c r="P20" s="33"/>
      <c r="Q20" s="33"/>
    </row>
    <row r="21" spans="1:18" s="19" customFormat="1" ht="13.5">
      <c r="A21" s="8" t="s">
        <v>28</v>
      </c>
      <c r="B21" s="21"/>
      <c r="C21" s="49"/>
      <c r="D21" s="21"/>
      <c r="E21" s="21"/>
      <c r="F21" s="21"/>
      <c r="G21" s="21"/>
      <c r="H21" s="21"/>
      <c r="I21" s="21"/>
      <c r="J21" s="21"/>
      <c r="K21" s="21"/>
      <c r="L21" s="21"/>
      <c r="M21" s="22"/>
    </row>
    <row r="22" spans="1:18" s="19" customFormat="1" ht="13.5">
      <c r="A22" s="9" t="s">
        <v>29</v>
      </c>
      <c r="B22" s="47" t="s">
        <v>30</v>
      </c>
      <c r="C22" s="48" t="s">
        <v>31</v>
      </c>
      <c r="D22" s="47"/>
      <c r="E22" s="47"/>
      <c r="F22" s="47"/>
      <c r="G22" s="47"/>
      <c r="H22" s="47"/>
      <c r="I22" s="47"/>
      <c r="J22" s="47"/>
      <c r="K22" s="47"/>
      <c r="L22" s="47"/>
      <c r="M22" s="10"/>
    </row>
    <row r="23" spans="1:18" s="19" customFormat="1" ht="13.5">
      <c r="A23" s="9" t="s">
        <v>32</v>
      </c>
      <c r="B23" s="47" t="s">
        <v>30</v>
      </c>
      <c r="C23" s="48" t="s">
        <v>33</v>
      </c>
      <c r="D23" s="47"/>
      <c r="E23" s="47"/>
      <c r="F23" s="47"/>
      <c r="G23" s="47"/>
      <c r="H23" s="47"/>
      <c r="I23" s="47"/>
      <c r="J23" s="47"/>
      <c r="K23" s="47"/>
      <c r="L23" s="47"/>
      <c r="M23" s="10"/>
    </row>
    <row r="24" spans="1:18" s="11" customFormat="1">
      <c r="A24" s="9" t="s">
        <v>34</v>
      </c>
      <c r="B24" s="47" t="s">
        <v>35</v>
      </c>
      <c r="C24" s="48" t="s">
        <v>36</v>
      </c>
      <c r="D24" s="48"/>
      <c r="E24" s="48"/>
      <c r="F24" s="47"/>
      <c r="G24" s="47"/>
      <c r="H24" s="47"/>
      <c r="I24" s="47"/>
      <c r="J24" s="47"/>
      <c r="K24" s="47"/>
      <c r="L24" s="47"/>
      <c r="M24" s="10"/>
      <c r="N24" s="37"/>
      <c r="O24" s="37"/>
      <c r="P24" s="37"/>
      <c r="Q24" s="37"/>
    </row>
    <row r="25" spans="1:18" s="11" customFormat="1">
      <c r="A25" s="9" t="s">
        <v>37</v>
      </c>
      <c r="B25" s="47" t="s">
        <v>38</v>
      </c>
      <c r="C25" s="48" t="s">
        <v>39</v>
      </c>
      <c r="D25" s="48"/>
      <c r="E25" s="48"/>
      <c r="F25" s="47"/>
      <c r="G25" s="47"/>
      <c r="H25" s="47"/>
      <c r="I25" s="47"/>
      <c r="J25" s="47"/>
      <c r="K25" s="47"/>
      <c r="L25" s="47"/>
      <c r="M25" s="10"/>
      <c r="N25" s="37"/>
      <c r="O25" s="37"/>
      <c r="P25" s="37"/>
      <c r="Q25" s="37"/>
    </row>
    <row r="26" spans="1:18" s="19" customFormat="1" ht="13.5">
      <c r="A26" s="12" t="s">
        <v>40</v>
      </c>
      <c r="B26" s="13" t="s">
        <v>30</v>
      </c>
      <c r="C26" s="14" t="s">
        <v>41</v>
      </c>
      <c r="D26" s="13"/>
      <c r="E26" s="13"/>
      <c r="F26" s="13"/>
      <c r="G26" s="13"/>
      <c r="H26" s="13"/>
      <c r="I26" s="13"/>
      <c r="J26" s="13"/>
      <c r="K26" s="13"/>
      <c r="L26" s="13"/>
      <c r="M26" s="18"/>
    </row>
    <row r="27" spans="1:18" s="19" customFormat="1" ht="13.5">
      <c r="A27" s="12"/>
      <c r="B27" s="13"/>
      <c r="C27" s="14" t="s">
        <v>42</v>
      </c>
      <c r="D27" s="13"/>
      <c r="E27" s="13"/>
      <c r="F27" s="13"/>
      <c r="G27" s="13"/>
      <c r="H27" s="13"/>
      <c r="I27" s="13"/>
      <c r="J27" s="13"/>
      <c r="K27" s="13"/>
      <c r="L27" s="13"/>
      <c r="M27" s="18"/>
    </row>
    <row r="28" spans="1:18" s="19" customFormat="1" ht="13.5">
      <c r="A28" s="12" t="s">
        <v>43</v>
      </c>
      <c r="B28" s="13" t="s">
        <v>38</v>
      </c>
      <c r="C28" s="14" t="s">
        <v>44</v>
      </c>
      <c r="D28" s="13"/>
      <c r="E28" s="13"/>
      <c r="F28" s="13"/>
      <c r="G28" s="13"/>
      <c r="H28" s="13"/>
      <c r="I28" s="13"/>
      <c r="J28" s="13"/>
      <c r="K28" s="13"/>
      <c r="L28" s="13"/>
      <c r="M28" s="18"/>
    </row>
    <row r="29" spans="1:18" s="7" customFormat="1">
      <c r="A29" s="17" t="s">
        <v>45</v>
      </c>
      <c r="B29" s="13" t="s">
        <v>30</v>
      </c>
      <c r="C29" s="14" t="s">
        <v>46</v>
      </c>
      <c r="D29" s="14"/>
      <c r="E29" s="14"/>
      <c r="F29" s="14"/>
      <c r="G29" s="13"/>
      <c r="H29" s="13"/>
      <c r="I29" s="13"/>
      <c r="J29" s="13"/>
      <c r="K29" s="13"/>
      <c r="L29" s="13"/>
      <c r="M29" s="18"/>
    </row>
    <row r="30" spans="1:18" s="7" customFormat="1">
      <c r="A30" s="75" t="s">
        <v>47</v>
      </c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7"/>
    </row>
    <row r="31" spans="1:18" s="19" customFormat="1" ht="13.5">
      <c r="A31" s="38" t="s">
        <v>48</v>
      </c>
      <c r="B31" s="13" t="s">
        <v>30</v>
      </c>
      <c r="C31" s="78" t="s">
        <v>49</v>
      </c>
      <c r="D31" s="78"/>
      <c r="E31" s="78"/>
      <c r="F31" s="78"/>
      <c r="G31" s="78"/>
      <c r="H31" s="78"/>
      <c r="I31" s="78"/>
      <c r="J31" s="78"/>
      <c r="K31" s="78"/>
      <c r="L31" s="78"/>
      <c r="M31" s="79"/>
      <c r="N31" s="39"/>
      <c r="O31" s="39"/>
      <c r="P31" s="39"/>
      <c r="Q31" s="39"/>
      <c r="R31" s="39"/>
    </row>
    <row r="32" spans="1:18" s="19" customFormat="1" ht="13.5">
      <c r="A32" s="12" t="s">
        <v>50</v>
      </c>
      <c r="B32" s="13" t="s">
        <v>35</v>
      </c>
      <c r="C32" s="14" t="s">
        <v>51</v>
      </c>
      <c r="D32" s="13"/>
      <c r="E32" s="13"/>
      <c r="F32" s="13"/>
      <c r="G32" s="13"/>
      <c r="H32" s="13"/>
      <c r="I32" s="13"/>
      <c r="J32" s="13"/>
      <c r="K32" s="13"/>
      <c r="L32" s="13"/>
      <c r="M32" s="18"/>
    </row>
    <row r="33" spans="1:24" s="19" customFormat="1" ht="13.5">
      <c r="A33" s="12" t="s">
        <v>52</v>
      </c>
      <c r="B33" s="13" t="s">
        <v>30</v>
      </c>
      <c r="C33" s="14" t="s">
        <v>53</v>
      </c>
      <c r="D33" s="13"/>
      <c r="E33" s="13"/>
      <c r="F33" s="13"/>
      <c r="G33" s="13"/>
      <c r="H33" s="13"/>
      <c r="I33" s="13"/>
      <c r="J33" s="13"/>
      <c r="K33" s="13"/>
      <c r="L33" s="13"/>
      <c r="M33" s="18"/>
    </row>
    <row r="34" spans="1:24" s="11" customFormat="1">
      <c r="A34" s="17" t="s">
        <v>54</v>
      </c>
      <c r="B34" s="13" t="s">
        <v>35</v>
      </c>
      <c r="C34" s="14" t="s">
        <v>55</v>
      </c>
      <c r="D34" s="13"/>
      <c r="E34" s="13"/>
      <c r="F34" s="13"/>
      <c r="G34" s="13"/>
      <c r="H34" s="13"/>
      <c r="I34" s="13"/>
      <c r="J34" s="13"/>
      <c r="K34" s="13"/>
      <c r="L34" s="13"/>
      <c r="M34" s="18"/>
    </row>
    <row r="35" spans="1:24" s="19" customFormat="1" ht="13.5">
      <c r="A35" s="17" t="s">
        <v>56</v>
      </c>
      <c r="B35" s="13" t="s">
        <v>35</v>
      </c>
      <c r="C35" s="14" t="s">
        <v>57</v>
      </c>
      <c r="D35" s="13"/>
      <c r="E35" s="13"/>
      <c r="F35" s="13"/>
      <c r="G35" s="13"/>
      <c r="H35" s="13"/>
      <c r="I35" s="13"/>
      <c r="J35" s="13"/>
      <c r="K35" s="13"/>
      <c r="L35" s="13"/>
      <c r="M35" s="18"/>
      <c r="N35" s="26"/>
      <c r="O35" s="26"/>
    </row>
    <row r="36" spans="1:24" s="19" customFormat="1" ht="13.5">
      <c r="A36" s="50" t="s">
        <v>58</v>
      </c>
      <c r="B36" s="51" t="s">
        <v>38</v>
      </c>
      <c r="C36" s="52" t="s">
        <v>59</v>
      </c>
      <c r="D36" s="53"/>
      <c r="E36" s="53"/>
      <c r="F36" s="51"/>
      <c r="G36" s="51"/>
      <c r="H36" s="51"/>
      <c r="I36" s="51"/>
      <c r="J36" s="51"/>
      <c r="K36" s="51"/>
      <c r="L36" s="51"/>
      <c r="M36" s="54"/>
      <c r="N36" s="26"/>
      <c r="O36" s="26"/>
    </row>
    <row r="37" spans="1:24" s="19" customFormat="1" ht="14.25" thickBot="1">
      <c r="A37" s="40" t="s">
        <v>60</v>
      </c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2"/>
      <c r="N37" s="43"/>
      <c r="O37" s="43"/>
      <c r="P37" s="43"/>
      <c r="Q37" s="43"/>
      <c r="R37" s="43"/>
      <c r="S37" s="43"/>
      <c r="U37" s="26"/>
      <c r="W37" s="26"/>
      <c r="X37" s="26"/>
    </row>
    <row r="38" spans="1:24" s="19" customFormat="1" ht="13.5">
      <c r="A38" s="20" t="s">
        <v>61</v>
      </c>
      <c r="B38" s="27"/>
      <c r="C38" s="15"/>
      <c r="D38" s="15"/>
      <c r="E38" s="15"/>
      <c r="F38" s="15"/>
      <c r="G38" s="15"/>
      <c r="H38" s="15"/>
      <c r="I38" s="27"/>
      <c r="J38" s="27"/>
      <c r="K38" s="27"/>
      <c r="L38" s="15"/>
      <c r="M38" s="16"/>
      <c r="R38" s="26"/>
      <c r="S38" s="26"/>
      <c r="U38" s="26"/>
      <c r="W38" s="26"/>
      <c r="X38" s="26"/>
    </row>
    <row r="39" spans="1:24" s="19" customFormat="1" ht="13.5">
      <c r="A39" s="20" t="s">
        <v>62</v>
      </c>
      <c r="B39" s="27"/>
      <c r="C39" s="15"/>
      <c r="D39" s="15"/>
      <c r="E39" s="15"/>
      <c r="F39" s="15"/>
      <c r="G39" s="15"/>
      <c r="H39" s="15"/>
      <c r="I39" s="27"/>
      <c r="J39" s="27"/>
      <c r="K39" s="27"/>
      <c r="L39" s="15"/>
      <c r="M39" s="16"/>
      <c r="R39" s="26"/>
      <c r="S39" s="26"/>
      <c r="U39" s="26"/>
      <c r="W39" s="26"/>
      <c r="X39" s="26"/>
    </row>
    <row r="40" spans="1:24" s="19" customFormat="1" ht="13.5">
      <c r="A40" s="20" t="s">
        <v>63</v>
      </c>
      <c r="B40" s="27"/>
      <c r="C40" s="15"/>
      <c r="D40" s="15"/>
      <c r="E40" s="15"/>
      <c r="F40" s="15"/>
      <c r="G40" s="15"/>
      <c r="H40" s="15"/>
      <c r="I40" s="27"/>
      <c r="J40" s="27"/>
      <c r="K40" s="27"/>
      <c r="L40" s="15"/>
      <c r="M40" s="16"/>
      <c r="R40" s="26"/>
      <c r="S40" s="26"/>
      <c r="U40" s="26"/>
      <c r="W40" s="26"/>
      <c r="X40" s="26"/>
    </row>
    <row r="41" spans="1:24" s="19" customFormat="1" ht="13.5">
      <c r="A41" s="20" t="s">
        <v>64</v>
      </c>
      <c r="B41" s="27"/>
      <c r="C41" s="15"/>
      <c r="D41" s="15"/>
      <c r="E41" s="15"/>
      <c r="F41" s="15"/>
      <c r="G41" s="15"/>
      <c r="H41" s="15"/>
      <c r="I41" s="27"/>
      <c r="J41" s="27"/>
      <c r="K41" s="27"/>
      <c r="L41" s="15"/>
      <c r="M41" s="16"/>
      <c r="R41" s="26"/>
      <c r="S41" s="26"/>
      <c r="U41" s="26"/>
      <c r="W41" s="26"/>
      <c r="X41" s="26"/>
    </row>
    <row r="42" spans="1:24" s="19" customFormat="1" ht="13.5">
      <c r="A42" s="23" t="s">
        <v>65</v>
      </c>
      <c r="B42" s="27"/>
      <c r="C42" s="15"/>
      <c r="D42" s="15"/>
      <c r="E42" s="15"/>
      <c r="F42" s="15"/>
      <c r="G42" s="15"/>
      <c r="H42" s="15"/>
      <c r="I42" s="27"/>
      <c r="J42" s="27"/>
      <c r="K42" s="27"/>
      <c r="L42" s="15"/>
      <c r="M42" s="16"/>
      <c r="R42" s="26"/>
      <c r="S42" s="26"/>
      <c r="U42" s="26"/>
      <c r="W42" s="26"/>
      <c r="X42" s="26"/>
    </row>
    <row r="43" spans="1:24" s="19" customFormat="1" ht="14.25" thickBot="1">
      <c r="A43" s="24" t="s">
        <v>66</v>
      </c>
      <c r="B43" s="44"/>
      <c r="C43" s="45"/>
      <c r="D43" s="45"/>
      <c r="E43" s="45"/>
      <c r="F43" s="45"/>
      <c r="G43" s="45"/>
      <c r="H43" s="45"/>
      <c r="I43" s="44"/>
      <c r="J43" s="44"/>
      <c r="K43" s="44"/>
      <c r="L43" s="45"/>
      <c r="M43" s="46"/>
      <c r="R43" s="26"/>
      <c r="S43" s="26"/>
      <c r="U43" s="26"/>
      <c r="W43" s="26"/>
      <c r="X43" s="26"/>
    </row>
  </sheetData>
  <mergeCells count="11">
    <mergeCell ref="A18:M18"/>
    <mergeCell ref="A30:M30"/>
    <mergeCell ref="C31:M31"/>
    <mergeCell ref="A2:A3"/>
    <mergeCell ref="B2:M2"/>
    <mergeCell ref="B3:C3"/>
    <mergeCell ref="D3:E3"/>
    <mergeCell ref="F3:G3"/>
    <mergeCell ref="H3:I3"/>
    <mergeCell ref="J3:K3"/>
    <mergeCell ref="L3:M3"/>
  </mergeCells>
  <pageMargins left="0" right="0.70866141732283472" top="0" bottom="0.74803149606299213" header="0.31496062992125984" footer="0.31496062992125984"/>
  <pageSetup paperSize="9" scale="74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58A2C-D714-416E-A3AF-D81D0C3AE9F9}">
  <dimension ref="A1:O27"/>
  <sheetViews>
    <sheetView workbookViewId="0">
      <selection activeCell="B15" sqref="B15:O26"/>
    </sheetView>
  </sheetViews>
  <sheetFormatPr defaultRowHeight="15"/>
  <sheetData>
    <row r="1" spans="1:15">
      <c r="A1" s="1" t="s">
        <v>12</v>
      </c>
      <c r="B1" s="2">
        <v>340</v>
      </c>
      <c r="C1" s="2">
        <v>400</v>
      </c>
      <c r="D1" s="2">
        <v>690</v>
      </c>
      <c r="E1" s="2">
        <v>800</v>
      </c>
      <c r="F1" s="2">
        <v>590</v>
      </c>
      <c r="G1" s="2">
        <v>950</v>
      </c>
      <c r="H1" s="2">
        <v>540</v>
      </c>
      <c r="I1" s="2">
        <v>850</v>
      </c>
      <c r="J1" s="2">
        <v>990</v>
      </c>
      <c r="K1" s="2">
        <v>1250</v>
      </c>
      <c r="L1" s="2">
        <v>2090</v>
      </c>
      <c r="M1" s="2">
        <v>3050</v>
      </c>
      <c r="N1" s="2">
        <v>490</v>
      </c>
      <c r="O1" s="3">
        <v>650</v>
      </c>
    </row>
    <row r="2" spans="1:15">
      <c r="A2" s="1" t="s">
        <v>13</v>
      </c>
      <c r="B2" s="2">
        <v>340</v>
      </c>
      <c r="C2" s="2">
        <v>400</v>
      </c>
      <c r="D2" s="2">
        <v>690</v>
      </c>
      <c r="E2" s="2">
        <v>800</v>
      </c>
      <c r="F2" s="2">
        <v>590</v>
      </c>
      <c r="G2" s="2">
        <v>950</v>
      </c>
      <c r="H2" s="2">
        <v>540</v>
      </c>
      <c r="I2" s="2">
        <v>850</v>
      </c>
      <c r="J2" s="2">
        <v>990</v>
      </c>
      <c r="K2" s="2">
        <v>1250</v>
      </c>
      <c r="L2" s="2">
        <v>2090</v>
      </c>
      <c r="M2" s="2">
        <v>3050</v>
      </c>
      <c r="N2" s="2">
        <v>490</v>
      </c>
      <c r="O2" s="3">
        <v>650</v>
      </c>
    </row>
    <row r="3" spans="1:15">
      <c r="A3" s="1" t="s">
        <v>14</v>
      </c>
      <c r="B3" s="2">
        <v>490</v>
      </c>
      <c r="C3" s="2">
        <v>550</v>
      </c>
      <c r="D3" s="2">
        <v>840</v>
      </c>
      <c r="E3" s="2">
        <v>1050</v>
      </c>
      <c r="F3" s="2">
        <v>740</v>
      </c>
      <c r="G3" s="2">
        <v>1100</v>
      </c>
      <c r="H3" s="2">
        <v>690</v>
      </c>
      <c r="I3" s="2">
        <v>1000</v>
      </c>
      <c r="J3" s="2">
        <v>1140</v>
      </c>
      <c r="K3" s="2">
        <v>1550</v>
      </c>
      <c r="L3" s="2">
        <v>2090</v>
      </c>
      <c r="M3" s="2">
        <v>3050</v>
      </c>
      <c r="N3" s="2">
        <v>640</v>
      </c>
      <c r="O3" s="3">
        <v>800</v>
      </c>
    </row>
    <row r="4" spans="1:15">
      <c r="A4" s="1" t="s">
        <v>15</v>
      </c>
      <c r="B4" s="2">
        <v>490</v>
      </c>
      <c r="C4" s="2">
        <v>850</v>
      </c>
      <c r="D4" s="2">
        <v>790</v>
      </c>
      <c r="E4" s="2">
        <v>1150</v>
      </c>
      <c r="F4" s="2">
        <v>890</v>
      </c>
      <c r="G4" s="2">
        <v>1550</v>
      </c>
      <c r="H4" s="2">
        <v>690</v>
      </c>
      <c r="I4" s="2">
        <v>1150</v>
      </c>
      <c r="J4" s="2">
        <v>1140</v>
      </c>
      <c r="K4" s="2">
        <v>1550</v>
      </c>
      <c r="L4" s="2">
        <v>2090</v>
      </c>
      <c r="M4" s="2">
        <v>3050</v>
      </c>
      <c r="N4" s="2">
        <v>590</v>
      </c>
      <c r="O4" s="3">
        <v>850</v>
      </c>
    </row>
    <row r="5" spans="1:15">
      <c r="A5" s="1" t="s">
        <v>17</v>
      </c>
      <c r="B5" s="2">
        <v>340</v>
      </c>
      <c r="C5" s="2">
        <v>400</v>
      </c>
      <c r="D5" s="2">
        <v>690</v>
      </c>
      <c r="E5" s="2">
        <v>800</v>
      </c>
      <c r="F5" s="2">
        <v>590</v>
      </c>
      <c r="G5" s="2">
        <v>950</v>
      </c>
      <c r="H5" s="2">
        <v>540</v>
      </c>
      <c r="I5" s="2">
        <v>850</v>
      </c>
      <c r="J5" s="2">
        <v>990</v>
      </c>
      <c r="K5" s="2">
        <v>1250</v>
      </c>
      <c r="L5" s="2">
        <v>2090</v>
      </c>
      <c r="M5" s="2">
        <v>3050</v>
      </c>
      <c r="N5" s="2">
        <v>490</v>
      </c>
      <c r="O5" s="3">
        <v>650</v>
      </c>
    </row>
    <row r="6" spans="1:15">
      <c r="A6" s="1" t="s">
        <v>18</v>
      </c>
      <c r="B6" s="2">
        <v>640</v>
      </c>
      <c r="C6" s="2">
        <v>800</v>
      </c>
      <c r="D6" s="2">
        <v>990</v>
      </c>
      <c r="E6" s="2">
        <v>1200</v>
      </c>
      <c r="F6" s="2">
        <v>890</v>
      </c>
      <c r="G6" s="2">
        <v>1350</v>
      </c>
      <c r="H6" s="2">
        <v>840</v>
      </c>
      <c r="I6" s="2">
        <v>1250</v>
      </c>
      <c r="J6" s="2">
        <v>1290</v>
      </c>
      <c r="K6" s="2">
        <v>1650</v>
      </c>
      <c r="L6" s="2">
        <v>2390</v>
      </c>
      <c r="M6" s="2">
        <v>3450</v>
      </c>
      <c r="N6" s="2">
        <v>790</v>
      </c>
      <c r="O6" s="3">
        <v>1050</v>
      </c>
    </row>
    <row r="7" spans="1:15">
      <c r="A7" s="1" t="s">
        <v>67</v>
      </c>
      <c r="B7" s="2">
        <v>440</v>
      </c>
      <c r="C7" s="2">
        <v>500</v>
      </c>
      <c r="D7" s="2">
        <v>790</v>
      </c>
      <c r="E7" s="2">
        <v>900</v>
      </c>
      <c r="F7" s="2">
        <v>690</v>
      </c>
      <c r="G7" s="2">
        <v>1050</v>
      </c>
      <c r="H7" s="2">
        <v>640</v>
      </c>
      <c r="I7" s="2">
        <v>950</v>
      </c>
      <c r="J7" s="2">
        <v>1140</v>
      </c>
      <c r="K7" s="2">
        <v>1550</v>
      </c>
      <c r="L7" s="2">
        <v>2090</v>
      </c>
      <c r="M7" s="2">
        <v>3050</v>
      </c>
      <c r="N7" s="2">
        <v>590</v>
      </c>
      <c r="O7" s="3">
        <v>750</v>
      </c>
    </row>
    <row r="8" spans="1:15">
      <c r="A8" s="1" t="s">
        <v>20</v>
      </c>
      <c r="B8" s="2">
        <v>390</v>
      </c>
      <c r="C8" s="2">
        <v>450</v>
      </c>
      <c r="D8" s="2">
        <v>740</v>
      </c>
      <c r="E8" s="2">
        <v>1000</v>
      </c>
      <c r="F8" s="2">
        <v>840</v>
      </c>
      <c r="G8" s="2">
        <v>1350</v>
      </c>
      <c r="H8" s="2">
        <v>590</v>
      </c>
      <c r="I8" s="2">
        <v>950</v>
      </c>
      <c r="J8" s="2">
        <v>1090</v>
      </c>
      <c r="K8" s="2">
        <v>1550</v>
      </c>
      <c r="L8" s="2">
        <v>2090</v>
      </c>
      <c r="M8" s="2">
        <v>3050</v>
      </c>
      <c r="N8" s="2">
        <v>590</v>
      </c>
      <c r="O8" s="3">
        <v>750</v>
      </c>
    </row>
    <row r="9" spans="1:15">
      <c r="A9" s="1" t="s">
        <v>21</v>
      </c>
      <c r="B9" s="2">
        <v>390</v>
      </c>
      <c r="C9" s="2">
        <v>700</v>
      </c>
      <c r="D9" s="2">
        <v>740</v>
      </c>
      <c r="E9" s="2">
        <v>950</v>
      </c>
      <c r="F9" s="2">
        <v>840</v>
      </c>
      <c r="G9" s="2">
        <v>1350</v>
      </c>
      <c r="H9" s="2">
        <v>590</v>
      </c>
      <c r="I9" s="2">
        <v>850</v>
      </c>
      <c r="J9" s="2">
        <v>1090</v>
      </c>
      <c r="K9" s="2">
        <v>1550</v>
      </c>
      <c r="L9" s="2">
        <v>2090</v>
      </c>
      <c r="M9" s="2">
        <v>3050</v>
      </c>
      <c r="N9" s="2">
        <v>590</v>
      </c>
      <c r="O9" s="3">
        <v>950</v>
      </c>
    </row>
    <row r="10" spans="1:15">
      <c r="A10" s="1" t="s">
        <v>22</v>
      </c>
      <c r="B10" s="2">
        <v>385</v>
      </c>
      <c r="C10" s="2">
        <v>550</v>
      </c>
      <c r="D10" s="2">
        <v>740</v>
      </c>
      <c r="E10" s="2">
        <v>950</v>
      </c>
      <c r="F10" s="2">
        <v>840</v>
      </c>
      <c r="G10" s="2">
        <v>1350</v>
      </c>
      <c r="H10" s="2">
        <v>590</v>
      </c>
      <c r="I10" s="2">
        <v>850</v>
      </c>
      <c r="J10" s="2">
        <v>1090</v>
      </c>
      <c r="K10" s="2">
        <v>1550</v>
      </c>
      <c r="L10" s="2">
        <v>2090</v>
      </c>
      <c r="M10" s="2">
        <v>3050</v>
      </c>
      <c r="N10" s="2">
        <v>590</v>
      </c>
      <c r="O10" s="3">
        <v>950</v>
      </c>
    </row>
    <row r="11" spans="1:15">
      <c r="A11" s="1" t="s">
        <v>23</v>
      </c>
      <c r="B11" s="2">
        <v>440</v>
      </c>
      <c r="C11" s="2">
        <v>895</v>
      </c>
      <c r="D11" s="2">
        <v>790</v>
      </c>
      <c r="E11" s="2">
        <v>950</v>
      </c>
      <c r="F11" s="2">
        <v>890</v>
      </c>
      <c r="G11" s="2">
        <v>1600</v>
      </c>
      <c r="H11" s="2">
        <v>590</v>
      </c>
      <c r="I11" s="2">
        <v>1000</v>
      </c>
      <c r="J11" s="2">
        <v>1090</v>
      </c>
      <c r="K11" s="2">
        <v>1550</v>
      </c>
      <c r="L11" s="2">
        <v>2090</v>
      </c>
      <c r="M11" s="2">
        <v>3050</v>
      </c>
      <c r="N11" s="2">
        <v>590</v>
      </c>
      <c r="O11" s="3">
        <v>950</v>
      </c>
    </row>
    <row r="12" spans="1:15" ht="15.75" thickBot="1">
      <c r="A12" s="4" t="s">
        <v>24</v>
      </c>
      <c r="B12" s="5">
        <v>340</v>
      </c>
      <c r="C12" s="5">
        <v>450</v>
      </c>
      <c r="D12" s="5">
        <v>590</v>
      </c>
      <c r="E12" s="5">
        <v>750</v>
      </c>
      <c r="F12" s="5">
        <v>590</v>
      </c>
      <c r="G12" s="5">
        <v>1050</v>
      </c>
      <c r="H12" s="5">
        <v>590</v>
      </c>
      <c r="I12" s="5">
        <v>750</v>
      </c>
      <c r="J12" s="5">
        <v>890</v>
      </c>
      <c r="K12" s="5">
        <v>1150</v>
      </c>
      <c r="L12" s="5">
        <v>2090</v>
      </c>
      <c r="M12" s="5">
        <v>3050</v>
      </c>
      <c r="N12" s="5">
        <v>490</v>
      </c>
      <c r="O12" s="6">
        <v>550</v>
      </c>
    </row>
    <row r="13" spans="1:15" ht="15.75" thickTop="1"/>
    <row r="15" spans="1:15">
      <c r="A15" s="1" t="s">
        <v>12</v>
      </c>
      <c r="B15" s="2">
        <f>B1+150</f>
        <v>490</v>
      </c>
      <c r="C15" s="2">
        <f>C1+250</f>
        <v>650</v>
      </c>
      <c r="D15" s="2">
        <f>D1+150</f>
        <v>840</v>
      </c>
      <c r="E15" s="2">
        <f>E1+250</f>
        <v>1050</v>
      </c>
      <c r="F15" s="2">
        <f>F1+150</f>
        <v>740</v>
      </c>
      <c r="G15" s="2">
        <f>G1+250</f>
        <v>1200</v>
      </c>
      <c r="H15" s="2">
        <f>H1+150</f>
        <v>690</v>
      </c>
      <c r="I15" s="2">
        <f>I1+250</f>
        <v>1100</v>
      </c>
      <c r="J15" s="2">
        <f>J1+150</f>
        <v>1140</v>
      </c>
      <c r="K15" s="2">
        <f>K1+250</f>
        <v>1500</v>
      </c>
      <c r="L15" s="2">
        <f>L1+150</f>
        <v>2240</v>
      </c>
      <c r="M15" s="2">
        <f>M1+250</f>
        <v>3300</v>
      </c>
      <c r="N15" s="2">
        <f>N1+150</f>
        <v>640</v>
      </c>
      <c r="O15" s="3">
        <f>O1+250</f>
        <v>900</v>
      </c>
    </row>
    <row r="16" spans="1:15">
      <c r="A16" s="1" t="s">
        <v>13</v>
      </c>
      <c r="B16" s="2">
        <f t="shared" ref="B16:D26" si="0">B2+150</f>
        <v>490</v>
      </c>
      <c r="C16" s="2">
        <f t="shared" ref="C16:E26" si="1">C2+250</f>
        <v>650</v>
      </c>
      <c r="D16" s="2">
        <f t="shared" si="0"/>
        <v>840</v>
      </c>
      <c r="E16" s="2">
        <f t="shared" si="1"/>
        <v>1050</v>
      </c>
      <c r="F16" s="2">
        <f t="shared" ref="F16" si="2">F2+150</f>
        <v>740</v>
      </c>
      <c r="G16" s="2">
        <f t="shared" ref="G16" si="3">G2+250</f>
        <v>1200</v>
      </c>
      <c r="H16" s="2">
        <f t="shared" ref="H16" si="4">H2+150</f>
        <v>690</v>
      </c>
      <c r="I16" s="2">
        <f t="shared" ref="I16" si="5">I2+250</f>
        <v>1100</v>
      </c>
      <c r="J16" s="2">
        <f t="shared" ref="J16" si="6">J2+150</f>
        <v>1140</v>
      </c>
      <c r="K16" s="2">
        <f t="shared" ref="K16" si="7">K2+250</f>
        <v>1500</v>
      </c>
      <c r="L16" s="2">
        <f t="shared" ref="L16" si="8">L2+150</f>
        <v>2240</v>
      </c>
      <c r="M16" s="2">
        <f t="shared" ref="M16" si="9">M2+250</f>
        <v>3300</v>
      </c>
      <c r="N16" s="2">
        <f t="shared" ref="N16" si="10">N2+150</f>
        <v>640</v>
      </c>
      <c r="O16" s="3">
        <f t="shared" ref="O16" si="11">O2+250</f>
        <v>900</v>
      </c>
    </row>
    <row r="17" spans="1:15">
      <c r="A17" s="1" t="s">
        <v>14</v>
      </c>
      <c r="B17" s="2">
        <f t="shared" si="0"/>
        <v>640</v>
      </c>
      <c r="C17" s="2">
        <f t="shared" si="1"/>
        <v>800</v>
      </c>
      <c r="D17" s="2">
        <f t="shared" si="0"/>
        <v>990</v>
      </c>
      <c r="E17" s="2">
        <f t="shared" si="1"/>
        <v>1300</v>
      </c>
      <c r="F17" s="2">
        <f t="shared" ref="F17" si="12">F3+150</f>
        <v>890</v>
      </c>
      <c r="G17" s="2">
        <f t="shared" ref="G17" si="13">G3+250</f>
        <v>1350</v>
      </c>
      <c r="H17" s="2">
        <f t="shared" ref="H17" si="14">H3+150</f>
        <v>840</v>
      </c>
      <c r="I17" s="2">
        <f t="shared" ref="I17" si="15">I3+250</f>
        <v>1250</v>
      </c>
      <c r="J17" s="2">
        <f t="shared" ref="J17" si="16">J3+150</f>
        <v>1290</v>
      </c>
      <c r="K17" s="2">
        <f t="shared" ref="K17" si="17">K3+250</f>
        <v>1800</v>
      </c>
      <c r="L17" s="2">
        <f t="shared" ref="L17" si="18">L3+150</f>
        <v>2240</v>
      </c>
      <c r="M17" s="2">
        <f t="shared" ref="M17" si="19">M3+250</f>
        <v>3300</v>
      </c>
      <c r="N17" s="2">
        <f t="shared" ref="N17" si="20">N3+150</f>
        <v>790</v>
      </c>
      <c r="O17" s="3">
        <f t="shared" ref="O17" si="21">O3+250</f>
        <v>1050</v>
      </c>
    </row>
    <row r="18" spans="1:15">
      <c r="A18" s="1" t="s">
        <v>15</v>
      </c>
      <c r="B18" s="2">
        <f t="shared" si="0"/>
        <v>640</v>
      </c>
      <c r="C18" s="2">
        <f t="shared" si="1"/>
        <v>1100</v>
      </c>
      <c r="D18" s="2">
        <f t="shared" si="0"/>
        <v>940</v>
      </c>
      <c r="E18" s="2">
        <f t="shared" si="1"/>
        <v>1400</v>
      </c>
      <c r="F18" s="2">
        <f t="shared" ref="F18" si="22">F4+150</f>
        <v>1040</v>
      </c>
      <c r="G18" s="2">
        <f t="shared" ref="G18" si="23">G4+250</f>
        <v>1800</v>
      </c>
      <c r="H18" s="2">
        <f t="shared" ref="H18" si="24">H4+150</f>
        <v>840</v>
      </c>
      <c r="I18" s="2">
        <f t="shared" ref="I18" si="25">I4+250</f>
        <v>1400</v>
      </c>
      <c r="J18" s="2">
        <f t="shared" ref="J18" si="26">J4+150</f>
        <v>1290</v>
      </c>
      <c r="K18" s="2">
        <f t="shared" ref="K18" si="27">K4+250</f>
        <v>1800</v>
      </c>
      <c r="L18" s="2">
        <f t="shared" ref="L18" si="28">L4+150</f>
        <v>2240</v>
      </c>
      <c r="M18" s="2">
        <f t="shared" ref="M18" si="29">M4+250</f>
        <v>3300</v>
      </c>
      <c r="N18" s="2">
        <f t="shared" ref="N18" si="30">N4+150</f>
        <v>740</v>
      </c>
      <c r="O18" s="3">
        <f t="shared" ref="O18" si="31">O4+250</f>
        <v>1100</v>
      </c>
    </row>
    <row r="19" spans="1:15">
      <c r="A19" s="1" t="s">
        <v>17</v>
      </c>
      <c r="B19" s="2">
        <f t="shared" si="0"/>
        <v>490</v>
      </c>
      <c r="C19" s="2">
        <f t="shared" si="1"/>
        <v>650</v>
      </c>
      <c r="D19" s="2">
        <f t="shared" si="0"/>
        <v>840</v>
      </c>
      <c r="E19" s="2">
        <f t="shared" si="1"/>
        <v>1050</v>
      </c>
      <c r="F19" s="2">
        <f t="shared" ref="F19" si="32">F5+150</f>
        <v>740</v>
      </c>
      <c r="G19" s="2">
        <f t="shared" ref="G19" si="33">G5+250</f>
        <v>1200</v>
      </c>
      <c r="H19" s="2">
        <f t="shared" ref="H19" si="34">H5+150</f>
        <v>690</v>
      </c>
      <c r="I19" s="2">
        <f t="shared" ref="I19" si="35">I5+250</f>
        <v>1100</v>
      </c>
      <c r="J19" s="2">
        <f t="shared" ref="J19" si="36">J5+150</f>
        <v>1140</v>
      </c>
      <c r="K19" s="2">
        <f t="shared" ref="K19" si="37">K5+250</f>
        <v>1500</v>
      </c>
      <c r="L19" s="2">
        <f t="shared" ref="L19" si="38">L5+150</f>
        <v>2240</v>
      </c>
      <c r="M19" s="2">
        <f t="shared" ref="M19" si="39">M5+250</f>
        <v>3300</v>
      </c>
      <c r="N19" s="2">
        <f t="shared" ref="N19" si="40">N5+150</f>
        <v>640</v>
      </c>
      <c r="O19" s="3">
        <f t="shared" ref="O19" si="41">O5+250</f>
        <v>900</v>
      </c>
    </row>
    <row r="20" spans="1:15">
      <c r="A20" s="1" t="s">
        <v>18</v>
      </c>
      <c r="B20" s="2">
        <f t="shared" si="0"/>
        <v>790</v>
      </c>
      <c r="C20" s="2">
        <f t="shared" si="1"/>
        <v>1050</v>
      </c>
      <c r="D20" s="2">
        <f t="shared" si="0"/>
        <v>1140</v>
      </c>
      <c r="E20" s="2">
        <f t="shared" si="1"/>
        <v>1450</v>
      </c>
      <c r="F20" s="2">
        <f t="shared" ref="F20" si="42">F6+150</f>
        <v>1040</v>
      </c>
      <c r="G20" s="2">
        <f t="shared" ref="G20" si="43">G6+250</f>
        <v>1600</v>
      </c>
      <c r="H20" s="2">
        <f t="shared" ref="H20" si="44">H6+150</f>
        <v>990</v>
      </c>
      <c r="I20" s="2">
        <f t="shared" ref="I20" si="45">I6+250</f>
        <v>1500</v>
      </c>
      <c r="J20" s="2">
        <f t="shared" ref="J20" si="46">J6+150</f>
        <v>1440</v>
      </c>
      <c r="K20" s="2">
        <f t="shared" ref="K20" si="47">K6+250</f>
        <v>1900</v>
      </c>
      <c r="L20" s="2">
        <f t="shared" ref="L20" si="48">L6+150</f>
        <v>2540</v>
      </c>
      <c r="M20" s="2">
        <f t="shared" ref="M20" si="49">M6+250</f>
        <v>3700</v>
      </c>
      <c r="N20" s="2">
        <f t="shared" ref="N20" si="50">N6+150</f>
        <v>940</v>
      </c>
      <c r="O20" s="3">
        <f t="shared" ref="O20" si="51">O6+250</f>
        <v>1300</v>
      </c>
    </row>
    <row r="21" spans="1:15">
      <c r="A21" s="1" t="s">
        <v>67</v>
      </c>
      <c r="B21" s="2">
        <f t="shared" si="0"/>
        <v>590</v>
      </c>
      <c r="C21" s="2">
        <f t="shared" si="1"/>
        <v>750</v>
      </c>
      <c r="D21" s="2">
        <f t="shared" si="0"/>
        <v>940</v>
      </c>
      <c r="E21" s="2">
        <f t="shared" si="1"/>
        <v>1150</v>
      </c>
      <c r="F21" s="2">
        <f t="shared" ref="F21" si="52">F7+150</f>
        <v>840</v>
      </c>
      <c r="G21" s="2">
        <f t="shared" ref="G21" si="53">G7+250</f>
        <v>1300</v>
      </c>
      <c r="H21" s="2">
        <f t="shared" ref="H21" si="54">H7+150</f>
        <v>790</v>
      </c>
      <c r="I21" s="2">
        <f t="shared" ref="I21" si="55">I7+250</f>
        <v>1200</v>
      </c>
      <c r="J21" s="2">
        <f t="shared" ref="J21" si="56">J7+150</f>
        <v>1290</v>
      </c>
      <c r="K21" s="2">
        <f t="shared" ref="K21" si="57">K7+250</f>
        <v>1800</v>
      </c>
      <c r="L21" s="2">
        <f t="shared" ref="L21" si="58">L7+150</f>
        <v>2240</v>
      </c>
      <c r="M21" s="2">
        <f t="shared" ref="M21" si="59">M7+250</f>
        <v>3300</v>
      </c>
      <c r="N21" s="2">
        <f t="shared" ref="N21" si="60">N7+150</f>
        <v>740</v>
      </c>
      <c r="O21" s="3">
        <f t="shared" ref="O21" si="61">O7+250</f>
        <v>1000</v>
      </c>
    </row>
    <row r="22" spans="1:15">
      <c r="A22" s="1" t="s">
        <v>20</v>
      </c>
      <c r="B22" s="2">
        <f t="shared" si="0"/>
        <v>540</v>
      </c>
      <c r="C22" s="2">
        <f t="shared" si="1"/>
        <v>700</v>
      </c>
      <c r="D22" s="2">
        <f t="shared" si="0"/>
        <v>890</v>
      </c>
      <c r="E22" s="2">
        <f t="shared" si="1"/>
        <v>1250</v>
      </c>
      <c r="F22" s="2">
        <f t="shared" ref="F22" si="62">F8+150</f>
        <v>990</v>
      </c>
      <c r="G22" s="2">
        <f t="shared" ref="G22" si="63">G8+250</f>
        <v>1600</v>
      </c>
      <c r="H22" s="2">
        <f t="shared" ref="H22" si="64">H8+150</f>
        <v>740</v>
      </c>
      <c r="I22" s="2">
        <f t="shared" ref="I22" si="65">I8+250</f>
        <v>1200</v>
      </c>
      <c r="J22" s="2">
        <f t="shared" ref="J22" si="66">J8+150</f>
        <v>1240</v>
      </c>
      <c r="K22" s="2">
        <f t="shared" ref="K22" si="67">K8+250</f>
        <v>1800</v>
      </c>
      <c r="L22" s="2">
        <f t="shared" ref="L22" si="68">L8+150</f>
        <v>2240</v>
      </c>
      <c r="M22" s="2">
        <f t="shared" ref="M22" si="69">M8+250</f>
        <v>3300</v>
      </c>
      <c r="N22" s="2">
        <f t="shared" ref="N22" si="70">N8+150</f>
        <v>740</v>
      </c>
      <c r="O22" s="3">
        <f t="shared" ref="O22" si="71">O8+250</f>
        <v>1000</v>
      </c>
    </row>
    <row r="23" spans="1:15">
      <c r="A23" s="1" t="s">
        <v>21</v>
      </c>
      <c r="B23" s="2">
        <f t="shared" si="0"/>
        <v>540</v>
      </c>
      <c r="C23" s="2">
        <f t="shared" si="1"/>
        <v>950</v>
      </c>
      <c r="D23" s="2">
        <f t="shared" si="0"/>
        <v>890</v>
      </c>
      <c r="E23" s="2">
        <f t="shared" si="1"/>
        <v>1200</v>
      </c>
      <c r="F23" s="2">
        <f t="shared" ref="F23" si="72">F9+150</f>
        <v>990</v>
      </c>
      <c r="G23" s="2">
        <f t="shared" ref="G23" si="73">G9+250</f>
        <v>1600</v>
      </c>
      <c r="H23" s="2">
        <f t="shared" ref="H23" si="74">H9+150</f>
        <v>740</v>
      </c>
      <c r="I23" s="2">
        <f t="shared" ref="I23" si="75">I9+250</f>
        <v>1100</v>
      </c>
      <c r="J23" s="2">
        <f t="shared" ref="J23" si="76">J9+150</f>
        <v>1240</v>
      </c>
      <c r="K23" s="2">
        <f t="shared" ref="K23" si="77">K9+250</f>
        <v>1800</v>
      </c>
      <c r="L23" s="2">
        <f t="shared" ref="L23" si="78">L9+150</f>
        <v>2240</v>
      </c>
      <c r="M23" s="2">
        <f t="shared" ref="M23" si="79">M9+250</f>
        <v>3300</v>
      </c>
      <c r="N23" s="2">
        <f t="shared" ref="N23" si="80">N9+150</f>
        <v>740</v>
      </c>
      <c r="O23" s="3">
        <f t="shared" ref="O23" si="81">O9+250</f>
        <v>1200</v>
      </c>
    </row>
    <row r="24" spans="1:15">
      <c r="A24" s="1" t="s">
        <v>22</v>
      </c>
      <c r="B24" s="2">
        <f t="shared" si="0"/>
        <v>535</v>
      </c>
      <c r="C24" s="2">
        <f t="shared" si="1"/>
        <v>800</v>
      </c>
      <c r="D24" s="2">
        <f t="shared" si="0"/>
        <v>890</v>
      </c>
      <c r="E24" s="2">
        <f t="shared" si="1"/>
        <v>1200</v>
      </c>
      <c r="F24" s="2">
        <f t="shared" ref="F24" si="82">F10+150</f>
        <v>990</v>
      </c>
      <c r="G24" s="2">
        <f t="shared" ref="G24" si="83">G10+250</f>
        <v>1600</v>
      </c>
      <c r="H24" s="2">
        <f t="shared" ref="H24" si="84">H10+150</f>
        <v>740</v>
      </c>
      <c r="I24" s="2">
        <f t="shared" ref="I24" si="85">I10+250</f>
        <v>1100</v>
      </c>
      <c r="J24" s="2">
        <f t="shared" ref="J24" si="86">J10+150</f>
        <v>1240</v>
      </c>
      <c r="K24" s="2">
        <f t="shared" ref="K24" si="87">K10+250</f>
        <v>1800</v>
      </c>
      <c r="L24" s="2">
        <f t="shared" ref="L24" si="88">L10+150</f>
        <v>2240</v>
      </c>
      <c r="M24" s="2">
        <f t="shared" ref="M24" si="89">M10+250</f>
        <v>3300</v>
      </c>
      <c r="N24" s="2">
        <f t="shared" ref="N24" si="90">N10+150</f>
        <v>740</v>
      </c>
      <c r="O24" s="3">
        <f t="shared" ref="O24" si="91">O10+250</f>
        <v>1200</v>
      </c>
    </row>
    <row r="25" spans="1:15">
      <c r="A25" s="1" t="s">
        <v>23</v>
      </c>
      <c r="B25" s="2">
        <f t="shared" si="0"/>
        <v>590</v>
      </c>
      <c r="C25" s="2">
        <f t="shared" si="1"/>
        <v>1145</v>
      </c>
      <c r="D25" s="2">
        <f t="shared" si="0"/>
        <v>940</v>
      </c>
      <c r="E25" s="2">
        <f t="shared" si="1"/>
        <v>1200</v>
      </c>
      <c r="F25" s="2">
        <f t="shared" ref="F25" si="92">F11+150</f>
        <v>1040</v>
      </c>
      <c r="G25" s="2">
        <f t="shared" ref="G25" si="93">G11+250</f>
        <v>1850</v>
      </c>
      <c r="H25" s="2">
        <f t="shared" ref="H25" si="94">H11+150</f>
        <v>740</v>
      </c>
      <c r="I25" s="2">
        <f t="shared" ref="I25" si="95">I11+250</f>
        <v>1250</v>
      </c>
      <c r="J25" s="2">
        <f t="shared" ref="J25" si="96">J11+150</f>
        <v>1240</v>
      </c>
      <c r="K25" s="2">
        <f t="shared" ref="K25" si="97">K11+250</f>
        <v>1800</v>
      </c>
      <c r="L25" s="2">
        <f t="shared" ref="L25" si="98">L11+150</f>
        <v>2240</v>
      </c>
      <c r="M25" s="2">
        <f t="shared" ref="M25" si="99">M11+250</f>
        <v>3300</v>
      </c>
      <c r="N25" s="2">
        <f t="shared" ref="N25" si="100">N11+150</f>
        <v>740</v>
      </c>
      <c r="O25" s="3">
        <f t="shared" ref="O25" si="101">O11+250</f>
        <v>1200</v>
      </c>
    </row>
    <row r="26" spans="1:15" ht="15.75" thickBot="1">
      <c r="A26" s="4" t="s">
        <v>24</v>
      </c>
      <c r="B26" s="2">
        <f t="shared" si="0"/>
        <v>490</v>
      </c>
      <c r="C26" s="2">
        <f t="shared" si="1"/>
        <v>700</v>
      </c>
      <c r="D26" s="5">
        <f t="shared" si="0"/>
        <v>740</v>
      </c>
      <c r="E26" s="5">
        <f t="shared" si="1"/>
        <v>1000</v>
      </c>
      <c r="F26" s="5">
        <f t="shared" ref="F26" si="102">F12+150</f>
        <v>740</v>
      </c>
      <c r="G26" s="5">
        <f t="shared" ref="G26" si="103">G12+250</f>
        <v>1300</v>
      </c>
      <c r="H26" s="5">
        <f t="shared" ref="H26" si="104">H12+150</f>
        <v>740</v>
      </c>
      <c r="I26" s="5">
        <f t="shared" ref="I26" si="105">I12+250</f>
        <v>1000</v>
      </c>
      <c r="J26" s="5">
        <f t="shared" ref="J26" si="106">J12+150</f>
        <v>1040</v>
      </c>
      <c r="K26" s="5">
        <f t="shared" ref="K26" si="107">K12+250</f>
        <v>1400</v>
      </c>
      <c r="L26" s="5">
        <f t="shared" ref="L26" si="108">L12+150</f>
        <v>2240</v>
      </c>
      <c r="M26" s="5">
        <f t="shared" ref="M26" si="109">M12+250</f>
        <v>3300</v>
      </c>
      <c r="N26" s="5">
        <f t="shared" ref="N26" si="110">N12+150</f>
        <v>640</v>
      </c>
      <c r="O26" s="6">
        <f t="shared" ref="O26" si="111">O12+250</f>
        <v>800</v>
      </c>
    </row>
    <row r="27" spans="1:15" ht="15.75" thickTop="1"/>
  </sheetData>
  <pageMargins left="0.7" right="0.7" top="0.75" bottom="0.75" header="0.3" footer="0.3"/>
  <pageSetup paperSize="9" orientation="portrait" r:id="rId1"/>
  <headerFooter>
    <oddFooter>&amp;L_x000D_&amp;1#&amp;"Calibri"&amp;10&amp;K000000 Sensitivity: 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210AB9A5F1424EAE301EAB74E1203B" ma:contentTypeVersion="7" ma:contentTypeDescription="Create a new document." ma:contentTypeScope="" ma:versionID="10bcc96588be6162066ea2dcb21adc4b">
  <xsd:schema xmlns:xsd="http://www.w3.org/2001/XMLSchema" xmlns:xs="http://www.w3.org/2001/XMLSchema" xmlns:p="http://schemas.microsoft.com/office/2006/metadata/properties" xmlns:ns2="3e007605-2cee-4da1-b03a-e8ed5e417f6c" targetNamespace="http://schemas.microsoft.com/office/2006/metadata/properties" ma:root="true" ma:fieldsID="52a14dafa6999649abb659deeaafc1e5" ns2:_="">
    <xsd:import namespace="3e007605-2cee-4da1-b03a-e8ed5e417f6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007605-2cee-4da1-b03a-e8ed5e417f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6AB5481-6BE7-4EF6-B0A7-4EAABD3C4153}"/>
</file>

<file path=customXml/itemProps2.xml><?xml version="1.0" encoding="utf-8"?>
<ds:datastoreItem xmlns:ds="http://schemas.openxmlformats.org/officeDocument/2006/customXml" ds:itemID="{F170F41B-B134-4D15-88C1-DBFB88F9C373}"/>
</file>

<file path=customXml/itemProps3.xml><?xml version="1.0" encoding="utf-8"?>
<ds:datastoreItem xmlns:ds="http://schemas.openxmlformats.org/officeDocument/2006/customXml" ds:itemID="{7C058099-AD70-40E2-AADB-78FA864AA235}"/>
</file>

<file path=docMetadata/LabelInfo.xml><?xml version="1.0" encoding="utf-8"?>
<clbl:labelList xmlns:clbl="http://schemas.microsoft.com/office/2020/mipLabelMetadata">
  <clbl:label id="{fc24caf1-31f7-40c1-bde0-ca915f0156e3}" enabled="1" method="Standard" siteId="{088e9b00-ffd0-458e-bfa1-acf4c596d3c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MSC S.A.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akendell</dc:creator>
  <cp:keywords/>
  <dc:description/>
  <cp:lastModifiedBy/>
  <cp:revision/>
  <dcterms:created xsi:type="dcterms:W3CDTF">2015-06-17T13:57:15Z</dcterms:created>
  <dcterms:modified xsi:type="dcterms:W3CDTF">2025-09-24T08:04:40Z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24caf1-31f7-40c1-bde0-ca915f0156e3_Enabled">
    <vt:lpwstr>true</vt:lpwstr>
  </property>
  <property fmtid="{D5CDD505-2E9C-101B-9397-08002B2CF9AE}" pid="3" name="MSIP_Label_fc24caf1-31f7-40c1-bde0-ca915f0156e3_SetDate">
    <vt:lpwstr>2022-09-12T07:58:45Z</vt:lpwstr>
  </property>
  <property fmtid="{D5CDD505-2E9C-101B-9397-08002B2CF9AE}" pid="4" name="MSIP_Label_fc24caf1-31f7-40c1-bde0-ca915f0156e3_Method">
    <vt:lpwstr>Standard</vt:lpwstr>
  </property>
  <property fmtid="{D5CDD505-2E9C-101B-9397-08002B2CF9AE}" pid="5" name="MSIP_Label_fc24caf1-31f7-40c1-bde0-ca915f0156e3_Name">
    <vt:lpwstr>Internal</vt:lpwstr>
  </property>
  <property fmtid="{D5CDD505-2E9C-101B-9397-08002B2CF9AE}" pid="6" name="MSIP_Label_fc24caf1-31f7-40c1-bde0-ca915f0156e3_SiteId">
    <vt:lpwstr>088e9b00-ffd0-458e-bfa1-acf4c596d3cb</vt:lpwstr>
  </property>
  <property fmtid="{D5CDD505-2E9C-101B-9397-08002B2CF9AE}" pid="7" name="MSIP_Label_fc24caf1-31f7-40c1-bde0-ca915f0156e3_ActionId">
    <vt:lpwstr>18647bce-4a13-4b0d-867d-704fd70d5705</vt:lpwstr>
  </property>
  <property fmtid="{D5CDD505-2E9C-101B-9397-08002B2CF9AE}" pid="8" name="MSIP_Label_fc24caf1-31f7-40c1-bde0-ca915f0156e3_ContentBits">
    <vt:lpwstr>2</vt:lpwstr>
  </property>
  <property fmtid="{D5CDD505-2E9C-101B-9397-08002B2CF9AE}" pid="9" name="ContentTypeId">
    <vt:lpwstr>0x0101005D210AB9A5F1424EAE301EAB74E1203B</vt:lpwstr>
  </property>
</Properties>
</file>